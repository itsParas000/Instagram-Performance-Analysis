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IT VEDANT\EXCEL\New folder\dataset\"/>
    </mc:Choice>
  </mc:AlternateContent>
  <xr:revisionPtr revIDLastSave="0" documentId="13_ncr:1_{F45E7821-8703-47B9-86BB-9C8AE040B90B}" xr6:coauthVersionLast="47" xr6:coauthVersionMax="47" xr10:uidLastSave="{00000000-0000-0000-0000-000000000000}"/>
  <bookViews>
    <workbookView xWindow="-108" yWindow="-108" windowWidth="23256" windowHeight="13176" activeTab="4" xr2:uid="{00000000-000D-0000-FFFF-FFFF00000000}"/>
  </bookViews>
  <sheets>
    <sheet name="insta_data" sheetId="1" r:id="rId1"/>
    <sheet name="PT_MASTER" sheetId="6" r:id="rId2"/>
    <sheet name="PT_Chart" sheetId="9" r:id="rId3"/>
    <sheet name="PT_KPIs" sheetId="8" r:id="rId4"/>
    <sheet name="Dashboard" sheetId="4" r:id="rId5"/>
  </sheets>
  <definedNames>
    <definedName name="Slicer_Months__post_date">#N/A</definedName>
    <definedName name="Slicer_post_type">#N/A</definedName>
  </definedNames>
  <calcPr calcId="191029"/>
  <pivotCaches>
    <pivotCache cacheId="3"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8" l="1"/>
  <c r="A8" i="8"/>
  <c r="J8" i="8"/>
  <c r="H8" i="8"/>
  <c r="F8" i="8"/>
</calcChain>
</file>

<file path=xl/sharedStrings.xml><?xml version="1.0" encoding="utf-8"?>
<sst xmlns="http://schemas.openxmlformats.org/spreadsheetml/2006/main" count="2111" uniqueCount="808">
  <si>
    <t>account_id</t>
  </si>
  <si>
    <t>username</t>
  </si>
  <si>
    <t>post_id</t>
  </si>
  <si>
    <t>post_type</t>
  </si>
  <si>
    <t>post_date</t>
  </si>
  <si>
    <t>likes</t>
  </si>
  <si>
    <t>comments</t>
  </si>
  <si>
    <t>shares</t>
  </si>
  <si>
    <t>reach</t>
  </si>
  <si>
    <t>impressions</t>
  </si>
  <si>
    <t>engagement_rate</t>
  </si>
  <si>
    <t>hashtag_count</t>
  </si>
  <si>
    <t>avg_watch_time_sec</t>
  </si>
  <si>
    <t>user_82</t>
  </si>
  <si>
    <t>P100001</t>
  </si>
  <si>
    <t>Image</t>
  </si>
  <si>
    <t>user_55</t>
  </si>
  <si>
    <t>P100002</t>
  </si>
  <si>
    <t>user_267</t>
  </si>
  <si>
    <t>P100003</t>
  </si>
  <si>
    <t>Carousel</t>
  </si>
  <si>
    <t>user_244</t>
  </si>
  <si>
    <t>P100004</t>
  </si>
  <si>
    <t>user_113</t>
  </si>
  <si>
    <t>P100005</t>
  </si>
  <si>
    <t>user_225</t>
  </si>
  <si>
    <t>P100006</t>
  </si>
  <si>
    <t>user_100</t>
  </si>
  <si>
    <t>P100007</t>
  </si>
  <si>
    <t>user_86</t>
  </si>
  <si>
    <t>P100008</t>
  </si>
  <si>
    <t>user_7</t>
  </si>
  <si>
    <t>P100009</t>
  </si>
  <si>
    <t>user_45</t>
  </si>
  <si>
    <t>P100010</t>
  </si>
  <si>
    <t>user_99</t>
  </si>
  <si>
    <t>P100011</t>
  </si>
  <si>
    <t>P100012</t>
  </si>
  <si>
    <t>Reel</t>
  </si>
  <si>
    <t>user_166</t>
  </si>
  <si>
    <t>P100013</t>
  </si>
  <si>
    <t>user_184</t>
  </si>
  <si>
    <t>P100014</t>
  </si>
  <si>
    <t>user_217</t>
  </si>
  <si>
    <t>P100015</t>
  </si>
  <si>
    <t>user_54</t>
  </si>
  <si>
    <t>P100016</t>
  </si>
  <si>
    <t>user_296</t>
  </si>
  <si>
    <t>P100017</t>
  </si>
  <si>
    <t>user_248</t>
  </si>
  <si>
    <t>P100018</t>
  </si>
  <si>
    <t>user_251</t>
  </si>
  <si>
    <t>P100019</t>
  </si>
  <si>
    <t>user_254</t>
  </si>
  <si>
    <t>P100020</t>
  </si>
  <si>
    <t>user_59</t>
  </si>
  <si>
    <t>P100021</t>
  </si>
  <si>
    <t>user_190</t>
  </si>
  <si>
    <t>P100022</t>
  </si>
  <si>
    <t>user_180</t>
  </si>
  <si>
    <t>P100023</t>
  </si>
  <si>
    <t>user_209</t>
  </si>
  <si>
    <t>P100024</t>
  </si>
  <si>
    <t>user_292</t>
  </si>
  <si>
    <t>P100025</t>
  </si>
  <si>
    <t>user_131</t>
  </si>
  <si>
    <t>P100026</t>
  </si>
  <si>
    <t>user_297</t>
  </si>
  <si>
    <t>P100027</t>
  </si>
  <si>
    <t>user_104</t>
  </si>
  <si>
    <t>P100028</t>
  </si>
  <si>
    <t>user_242</t>
  </si>
  <si>
    <t>P100029</t>
  </si>
  <si>
    <t>user_5</t>
  </si>
  <si>
    <t>P100030</t>
  </si>
  <si>
    <t>user_246</t>
  </si>
  <si>
    <t>P100031</t>
  </si>
  <si>
    <t>P100032</t>
  </si>
  <si>
    <t>user_277</t>
  </si>
  <si>
    <t>P100033</t>
  </si>
  <si>
    <t>user_79</t>
  </si>
  <si>
    <t>P100034</t>
  </si>
  <si>
    <t>P100035</t>
  </si>
  <si>
    <t>user_44</t>
  </si>
  <si>
    <t>P100036</t>
  </si>
  <si>
    <t>user_88</t>
  </si>
  <si>
    <t>P100037</t>
  </si>
  <si>
    <t>user_105</t>
  </si>
  <si>
    <t>P100038</t>
  </si>
  <si>
    <t>user_164</t>
  </si>
  <si>
    <t>P100039</t>
  </si>
  <si>
    <t>user_179</t>
  </si>
  <si>
    <t>P100040</t>
  </si>
  <si>
    <t>user_116</t>
  </si>
  <si>
    <t>P100041</t>
  </si>
  <si>
    <t>user_243</t>
  </si>
  <si>
    <t>P100042</t>
  </si>
  <si>
    <t>user_28</t>
  </si>
  <si>
    <t>P100043</t>
  </si>
  <si>
    <t>P100044</t>
  </si>
  <si>
    <t>user_257</t>
  </si>
  <si>
    <t>P100045</t>
  </si>
  <si>
    <t>user_71</t>
  </si>
  <si>
    <t>P100046</t>
  </si>
  <si>
    <t>user_98</t>
  </si>
  <si>
    <t>P100047</t>
  </si>
  <si>
    <t>P100048</t>
  </si>
  <si>
    <t>user_271</t>
  </si>
  <si>
    <t>P100049</t>
  </si>
  <si>
    <t>user_273</t>
  </si>
  <si>
    <t>P100050</t>
  </si>
  <si>
    <t>user_43</t>
  </si>
  <si>
    <t>P100051</t>
  </si>
  <si>
    <t>user_77</t>
  </si>
  <si>
    <t>P100052</t>
  </si>
  <si>
    <t>user_129</t>
  </si>
  <si>
    <t>P100053</t>
  </si>
  <si>
    <t>user_12</t>
  </si>
  <si>
    <t>P100054</t>
  </si>
  <si>
    <t>user_221</t>
  </si>
  <si>
    <t>P100055</t>
  </si>
  <si>
    <t>user_3</t>
  </si>
  <si>
    <t>P100056</t>
  </si>
  <si>
    <t>P100057</t>
  </si>
  <si>
    <t>user_194</t>
  </si>
  <si>
    <t>P100058</t>
  </si>
  <si>
    <t>P100059</t>
  </si>
  <si>
    <t>P100060</t>
  </si>
  <si>
    <t>user_30</t>
  </si>
  <si>
    <t>P100061</t>
  </si>
  <si>
    <t>user_34</t>
  </si>
  <si>
    <t>P100062</t>
  </si>
  <si>
    <t>user_268</t>
  </si>
  <si>
    <t>P100063</t>
  </si>
  <si>
    <t>user_67</t>
  </si>
  <si>
    <t>P100064</t>
  </si>
  <si>
    <t>P100065</t>
  </si>
  <si>
    <t>user_298</t>
  </si>
  <si>
    <t>P100066</t>
  </si>
  <si>
    <t>user_300</t>
  </si>
  <si>
    <t>P100067</t>
  </si>
  <si>
    <t>user_147</t>
  </si>
  <si>
    <t>P100068</t>
  </si>
  <si>
    <t>user_65</t>
  </si>
  <si>
    <t>P100069</t>
  </si>
  <si>
    <t>user_68</t>
  </si>
  <si>
    <t>P100070</t>
  </si>
  <si>
    <t>P100071</t>
  </si>
  <si>
    <t>P100072</t>
  </si>
  <si>
    <t>user_136</t>
  </si>
  <si>
    <t>P100073</t>
  </si>
  <si>
    <t>user_94</t>
  </si>
  <si>
    <t>P100074</t>
  </si>
  <si>
    <t>user_186</t>
  </si>
  <si>
    <t>P100075</t>
  </si>
  <si>
    <t>P100076</t>
  </si>
  <si>
    <t>user_6</t>
  </si>
  <si>
    <t>P100077</t>
  </si>
  <si>
    <t>user_235</t>
  </si>
  <si>
    <t>P100078</t>
  </si>
  <si>
    <t>user_106</t>
  </si>
  <si>
    <t>P100079</t>
  </si>
  <si>
    <t>user_189</t>
  </si>
  <si>
    <t>P100080</t>
  </si>
  <si>
    <t>user_249</t>
  </si>
  <si>
    <t>P100081</t>
  </si>
  <si>
    <t>user_208</t>
  </si>
  <si>
    <t>P100082</t>
  </si>
  <si>
    <t>user_38</t>
  </si>
  <si>
    <t>P100083</t>
  </si>
  <si>
    <t>P100084</t>
  </si>
  <si>
    <t>P100085</t>
  </si>
  <si>
    <t>user_201</t>
  </si>
  <si>
    <t>P100086</t>
  </si>
  <si>
    <t>user_229</t>
  </si>
  <si>
    <t>P100087</t>
  </si>
  <si>
    <t>P100088</t>
  </si>
  <si>
    <t>P100089</t>
  </si>
  <si>
    <t>user_282</t>
  </si>
  <si>
    <t>P100090</t>
  </si>
  <si>
    <t>user_165</t>
  </si>
  <si>
    <t>P100091</t>
  </si>
  <si>
    <t>user_245</t>
  </si>
  <si>
    <t>P100092</t>
  </si>
  <si>
    <t>P100093</t>
  </si>
  <si>
    <t>user_290</t>
  </si>
  <si>
    <t>P100094</t>
  </si>
  <si>
    <t>P100095</t>
  </si>
  <si>
    <t>user_260</t>
  </si>
  <si>
    <t>P100096</t>
  </si>
  <si>
    <t>user_157</t>
  </si>
  <si>
    <t>P100097</t>
  </si>
  <si>
    <t>user_39</t>
  </si>
  <si>
    <t>P100098</t>
  </si>
  <si>
    <t>P100099</t>
  </si>
  <si>
    <t>P100100</t>
  </si>
  <si>
    <t>user_15</t>
  </si>
  <si>
    <t>P100101</t>
  </si>
  <si>
    <t>user_137</t>
  </si>
  <si>
    <t>P100102</t>
  </si>
  <si>
    <t>P100103</t>
  </si>
  <si>
    <t>user_293</t>
  </si>
  <si>
    <t>P100104</t>
  </si>
  <si>
    <t>user_47</t>
  </si>
  <si>
    <t>P100105</t>
  </si>
  <si>
    <t>user_143</t>
  </si>
  <si>
    <t>P100106</t>
  </si>
  <si>
    <t>user_281</t>
  </si>
  <si>
    <t>P100107</t>
  </si>
  <si>
    <t>P100108</t>
  </si>
  <si>
    <t>user_108</t>
  </si>
  <si>
    <t>P100109</t>
  </si>
  <si>
    <t>P100110</t>
  </si>
  <si>
    <t>user_114</t>
  </si>
  <si>
    <t>P100111</t>
  </si>
  <si>
    <t>user_200</t>
  </si>
  <si>
    <t>P100112</t>
  </si>
  <si>
    <t>user_46</t>
  </si>
  <si>
    <t>P100113</t>
  </si>
  <si>
    <t>user_125</t>
  </si>
  <si>
    <t>P100114</t>
  </si>
  <si>
    <t>user_177</t>
  </si>
  <si>
    <t>P100115</t>
  </si>
  <si>
    <t>user_57</t>
  </si>
  <si>
    <t>P100116</t>
  </si>
  <si>
    <t>user_233</t>
  </si>
  <si>
    <t>P100117</t>
  </si>
  <si>
    <t>user_90</t>
  </si>
  <si>
    <t>P100118</t>
  </si>
  <si>
    <t>user_182</t>
  </si>
  <si>
    <t>P100119</t>
  </si>
  <si>
    <t>user_206</t>
  </si>
  <si>
    <t>P100120</t>
  </si>
  <si>
    <t>user_270</t>
  </si>
  <si>
    <t>P100121</t>
  </si>
  <si>
    <t>user_18</t>
  </si>
  <si>
    <t>P100122</t>
  </si>
  <si>
    <t>user_299</t>
  </si>
  <si>
    <t>P100123</t>
  </si>
  <si>
    <t>user_29</t>
  </si>
  <si>
    <t>P100124</t>
  </si>
  <si>
    <t>P100125</t>
  </si>
  <si>
    <t>user_118</t>
  </si>
  <si>
    <t>P100126</t>
  </si>
  <si>
    <t>user_48</t>
  </si>
  <si>
    <t>P100127</t>
  </si>
  <si>
    <t>user_42</t>
  </si>
  <si>
    <t>P100128</t>
  </si>
  <si>
    <t>P100129</t>
  </si>
  <si>
    <t>P100130</t>
  </si>
  <si>
    <t>user_173</t>
  </si>
  <si>
    <t>P100131</t>
  </si>
  <si>
    <t>user_138</t>
  </si>
  <si>
    <t>P100132</t>
  </si>
  <si>
    <t>user_76</t>
  </si>
  <si>
    <t>P100133</t>
  </si>
  <si>
    <t>P100134</t>
  </si>
  <si>
    <t>P100135</t>
  </si>
  <si>
    <t>P100136</t>
  </si>
  <si>
    <t>P100137</t>
  </si>
  <si>
    <t>user_20</t>
  </si>
  <si>
    <t>P100138</t>
  </si>
  <si>
    <t>P100139</t>
  </si>
  <si>
    <t>user_58</t>
  </si>
  <si>
    <t>P100140</t>
  </si>
  <si>
    <t>user_92</t>
  </si>
  <si>
    <t>P100141</t>
  </si>
  <si>
    <t>P100142</t>
  </si>
  <si>
    <t>P100143</t>
  </si>
  <si>
    <t>P100144</t>
  </si>
  <si>
    <t>P100145</t>
  </si>
  <si>
    <t>user_291</t>
  </si>
  <si>
    <t>P100146</t>
  </si>
  <si>
    <t>user_176</t>
  </si>
  <si>
    <t>P100147</t>
  </si>
  <si>
    <t>P100148</t>
  </si>
  <si>
    <t>P100149</t>
  </si>
  <si>
    <t>user_272</t>
  </si>
  <si>
    <t>P100150</t>
  </si>
  <si>
    <t>P100151</t>
  </si>
  <si>
    <t>user_128</t>
  </si>
  <si>
    <t>P100152</t>
  </si>
  <si>
    <t>P100153</t>
  </si>
  <si>
    <t>user_276</t>
  </si>
  <si>
    <t>P100154</t>
  </si>
  <si>
    <t>P100155</t>
  </si>
  <si>
    <t>user_226</t>
  </si>
  <si>
    <t>P100156</t>
  </si>
  <si>
    <t>P100157</t>
  </si>
  <si>
    <t>P100158</t>
  </si>
  <si>
    <t>P100159</t>
  </si>
  <si>
    <t>P100160</t>
  </si>
  <si>
    <t>user_234</t>
  </si>
  <si>
    <t>P100161</t>
  </si>
  <si>
    <t>P100162</t>
  </si>
  <si>
    <t>user_183</t>
  </si>
  <si>
    <t>P100163</t>
  </si>
  <si>
    <t>user_70</t>
  </si>
  <si>
    <t>P100164</t>
  </si>
  <si>
    <t>user_91</t>
  </si>
  <si>
    <t>P100165</t>
  </si>
  <si>
    <t>P100166</t>
  </si>
  <si>
    <t>P100167</t>
  </si>
  <si>
    <t>user_238</t>
  </si>
  <si>
    <t>P100168</t>
  </si>
  <si>
    <t>user_279</t>
  </si>
  <si>
    <t>P100169</t>
  </si>
  <si>
    <t>P100170</t>
  </si>
  <si>
    <t>user_115</t>
  </si>
  <si>
    <t>P100171</t>
  </si>
  <si>
    <t>user_265</t>
  </si>
  <si>
    <t>P100172</t>
  </si>
  <si>
    <t>user_250</t>
  </si>
  <si>
    <t>P100173</t>
  </si>
  <si>
    <t>user_40</t>
  </si>
  <si>
    <t>P100174</t>
  </si>
  <si>
    <t>P100175</t>
  </si>
  <si>
    <t>user_139</t>
  </si>
  <si>
    <t>P100176</t>
  </si>
  <si>
    <t>P100177</t>
  </si>
  <si>
    <t>user_241</t>
  </si>
  <si>
    <t>P100178</t>
  </si>
  <si>
    <t>user_198</t>
  </si>
  <si>
    <t>P100179</t>
  </si>
  <si>
    <t>P100180</t>
  </si>
  <si>
    <t>P100181</t>
  </si>
  <si>
    <t>user_4</t>
  </si>
  <si>
    <t>P100182</t>
  </si>
  <si>
    <t>P100183</t>
  </si>
  <si>
    <t>user_75</t>
  </si>
  <si>
    <t>P100184</t>
  </si>
  <si>
    <t>P100185</t>
  </si>
  <si>
    <t>user_219</t>
  </si>
  <si>
    <t>P100186</t>
  </si>
  <si>
    <t>P100187</t>
  </si>
  <si>
    <t>P100188</t>
  </si>
  <si>
    <t>P100189</t>
  </si>
  <si>
    <t>P100190</t>
  </si>
  <si>
    <t>user_31</t>
  </si>
  <si>
    <t>P100191</t>
  </si>
  <si>
    <t>P100192</t>
  </si>
  <si>
    <t>user_61</t>
  </si>
  <si>
    <t>P100193</t>
  </si>
  <si>
    <t>user_174</t>
  </si>
  <si>
    <t>P100194</t>
  </si>
  <si>
    <t>user_130</t>
  </si>
  <si>
    <t>P100195</t>
  </si>
  <si>
    <t>P100196</t>
  </si>
  <si>
    <t>P100197</t>
  </si>
  <si>
    <t>user_72</t>
  </si>
  <si>
    <t>P100198</t>
  </si>
  <si>
    <t>user_64</t>
  </si>
  <si>
    <t>P100199</t>
  </si>
  <si>
    <t>P100200</t>
  </si>
  <si>
    <t>user_73</t>
  </si>
  <si>
    <t>P100201</t>
  </si>
  <si>
    <t>user_264</t>
  </si>
  <si>
    <t>P100202</t>
  </si>
  <si>
    <t>user_37</t>
  </si>
  <si>
    <t>P100203</t>
  </si>
  <si>
    <t>P100204</t>
  </si>
  <si>
    <t>P100205</t>
  </si>
  <si>
    <t>user_111</t>
  </si>
  <si>
    <t>P100206</t>
  </si>
  <si>
    <t>P100207</t>
  </si>
  <si>
    <t>P100208</t>
  </si>
  <si>
    <t>user_240</t>
  </si>
  <si>
    <t>P100209</t>
  </si>
  <si>
    <t>P100210</t>
  </si>
  <si>
    <t>user_269</t>
  </si>
  <si>
    <t>P100211</t>
  </si>
  <si>
    <t>P100212</t>
  </si>
  <si>
    <t>P100213</t>
  </si>
  <si>
    <t>P100214</t>
  </si>
  <si>
    <t>P100215</t>
  </si>
  <si>
    <t>P100216</t>
  </si>
  <si>
    <t>P100217</t>
  </si>
  <si>
    <t>user_153</t>
  </si>
  <si>
    <t>P100218</t>
  </si>
  <si>
    <t>user_160</t>
  </si>
  <si>
    <t>P100219</t>
  </si>
  <si>
    <t>user_66</t>
  </si>
  <si>
    <t>P100220</t>
  </si>
  <si>
    <t>P100221</t>
  </si>
  <si>
    <t>user_36</t>
  </si>
  <si>
    <t>P100222</t>
  </si>
  <si>
    <t>user_232</t>
  </si>
  <si>
    <t>P100223</t>
  </si>
  <si>
    <t>user_216</t>
  </si>
  <si>
    <t>P100224</t>
  </si>
  <si>
    <t>user_17</t>
  </si>
  <si>
    <t>P100225</t>
  </si>
  <si>
    <t>P100226</t>
  </si>
  <si>
    <t>user_175</t>
  </si>
  <si>
    <t>P100227</t>
  </si>
  <si>
    <t>user_155</t>
  </si>
  <si>
    <t>P100228</t>
  </si>
  <si>
    <t>P100229</t>
  </si>
  <si>
    <t>user_262</t>
  </si>
  <si>
    <t>P100230</t>
  </si>
  <si>
    <t>user_158</t>
  </si>
  <si>
    <t>P100231</t>
  </si>
  <si>
    <t>user_124</t>
  </si>
  <si>
    <t>P100232</t>
  </si>
  <si>
    <t>P100233</t>
  </si>
  <si>
    <t>P100234</t>
  </si>
  <si>
    <t>user_53</t>
  </si>
  <si>
    <t>P100235</t>
  </si>
  <si>
    <t>P100236</t>
  </si>
  <si>
    <t>user_27</t>
  </si>
  <si>
    <t>P100237</t>
  </si>
  <si>
    <t>P100238</t>
  </si>
  <si>
    <t>user_261</t>
  </si>
  <si>
    <t>P100239</t>
  </si>
  <si>
    <t>user_202</t>
  </si>
  <si>
    <t>P100240</t>
  </si>
  <si>
    <t>user_212</t>
  </si>
  <si>
    <t>P100241</t>
  </si>
  <si>
    <t>P100242</t>
  </si>
  <si>
    <t>P100243</t>
  </si>
  <si>
    <t>P100244</t>
  </si>
  <si>
    <t>user_263</t>
  </si>
  <si>
    <t>P100245</t>
  </si>
  <si>
    <t>P100246</t>
  </si>
  <si>
    <t>user_284</t>
  </si>
  <si>
    <t>P100247</t>
  </si>
  <si>
    <t>P100248</t>
  </si>
  <si>
    <t>P100249</t>
  </si>
  <si>
    <t>P100250</t>
  </si>
  <si>
    <t>user_205</t>
  </si>
  <si>
    <t>P100251</t>
  </si>
  <si>
    <t>user_294</t>
  </si>
  <si>
    <t>P100252</t>
  </si>
  <si>
    <t>P100253</t>
  </si>
  <si>
    <t>P100254</t>
  </si>
  <si>
    <t>P100255</t>
  </si>
  <si>
    <t>P100256</t>
  </si>
  <si>
    <t>P100257</t>
  </si>
  <si>
    <t>P100258</t>
  </si>
  <si>
    <t>P100259</t>
  </si>
  <si>
    <t>user_274</t>
  </si>
  <si>
    <t>P100260</t>
  </si>
  <si>
    <t>user_102</t>
  </si>
  <si>
    <t>P100261</t>
  </si>
  <si>
    <t>user_51</t>
  </si>
  <si>
    <t>P100262</t>
  </si>
  <si>
    <t>P100263</t>
  </si>
  <si>
    <t>P100264</t>
  </si>
  <si>
    <t>user_204</t>
  </si>
  <si>
    <t>P100265</t>
  </si>
  <si>
    <t>P100266</t>
  </si>
  <si>
    <t>P100267</t>
  </si>
  <si>
    <t>user_107</t>
  </si>
  <si>
    <t>P100268</t>
  </si>
  <si>
    <t>user_146</t>
  </si>
  <si>
    <t>P100269</t>
  </si>
  <si>
    <t>P100270</t>
  </si>
  <si>
    <t>user_123</t>
  </si>
  <si>
    <t>P100271</t>
  </si>
  <si>
    <t>user_110</t>
  </si>
  <si>
    <t>P100272</t>
  </si>
  <si>
    <t>P100273</t>
  </si>
  <si>
    <t>P100274</t>
  </si>
  <si>
    <t>P100275</t>
  </si>
  <si>
    <t>P100276</t>
  </si>
  <si>
    <t>P100277</t>
  </si>
  <si>
    <t>P100278</t>
  </si>
  <si>
    <t>P100279</t>
  </si>
  <si>
    <t>P100280</t>
  </si>
  <si>
    <t>P100281</t>
  </si>
  <si>
    <t>user_134</t>
  </si>
  <si>
    <t>P100282</t>
  </si>
  <si>
    <t>user_126</t>
  </si>
  <si>
    <t>P100283</t>
  </si>
  <si>
    <t>P100284</t>
  </si>
  <si>
    <t>P100285</t>
  </si>
  <si>
    <t>P100286</t>
  </si>
  <si>
    <t>user_14</t>
  </si>
  <si>
    <t>P100287</t>
  </si>
  <si>
    <t>P100288</t>
  </si>
  <si>
    <t>P100289</t>
  </si>
  <si>
    <t>user_259</t>
  </si>
  <si>
    <t>P100290</t>
  </si>
  <si>
    <t>P100291</t>
  </si>
  <si>
    <t>user_286</t>
  </si>
  <si>
    <t>P100292</t>
  </si>
  <si>
    <t>P100293</t>
  </si>
  <si>
    <t>P100294</t>
  </si>
  <si>
    <t>P100295</t>
  </si>
  <si>
    <t>P100296</t>
  </si>
  <si>
    <t>user_231</t>
  </si>
  <si>
    <t>P100297</t>
  </si>
  <si>
    <t>P100298</t>
  </si>
  <si>
    <t>P100299</t>
  </si>
  <si>
    <t>P100300</t>
  </si>
  <si>
    <t>user_109</t>
  </si>
  <si>
    <t>P100301</t>
  </si>
  <si>
    <t>P100302</t>
  </si>
  <si>
    <t>P100303</t>
  </si>
  <si>
    <t>P100304</t>
  </si>
  <si>
    <t>P100305</t>
  </si>
  <si>
    <t>P100306</t>
  </si>
  <si>
    <t>P100307</t>
  </si>
  <si>
    <t>P100308</t>
  </si>
  <si>
    <t>user_258</t>
  </si>
  <si>
    <t>P100309</t>
  </si>
  <si>
    <t>P100310</t>
  </si>
  <si>
    <t>P100311</t>
  </si>
  <si>
    <t>P100312</t>
  </si>
  <si>
    <t>P100313</t>
  </si>
  <si>
    <t>user_117</t>
  </si>
  <si>
    <t>P100314</t>
  </si>
  <si>
    <t>user_188</t>
  </si>
  <si>
    <t>P100315</t>
  </si>
  <si>
    <t>P100316</t>
  </si>
  <si>
    <t>P100317</t>
  </si>
  <si>
    <t>P100318</t>
  </si>
  <si>
    <t>P100319</t>
  </si>
  <si>
    <t>P100320</t>
  </si>
  <si>
    <t>user_154</t>
  </si>
  <si>
    <t>P100321</t>
  </si>
  <si>
    <t>P100322</t>
  </si>
  <si>
    <t>user_35</t>
  </si>
  <si>
    <t>P100323</t>
  </si>
  <si>
    <t>P100324</t>
  </si>
  <si>
    <t>user_135</t>
  </si>
  <si>
    <t>P100325</t>
  </si>
  <si>
    <t>user_103</t>
  </si>
  <si>
    <t>P100326</t>
  </si>
  <si>
    <t>user_256</t>
  </si>
  <si>
    <t>P100327</t>
  </si>
  <si>
    <t>user_223</t>
  </si>
  <si>
    <t>P100328</t>
  </si>
  <si>
    <t>user_255</t>
  </si>
  <si>
    <t>P100329</t>
  </si>
  <si>
    <t>P100330</t>
  </si>
  <si>
    <t>user_161</t>
  </si>
  <si>
    <t>P100331</t>
  </si>
  <si>
    <t>user_96</t>
  </si>
  <si>
    <t>P100332</t>
  </si>
  <si>
    <t>P100333</t>
  </si>
  <si>
    <t>user_142</t>
  </si>
  <si>
    <t>P100334</t>
  </si>
  <si>
    <t>P100335</t>
  </si>
  <si>
    <t>P100336</t>
  </si>
  <si>
    <t>P100337</t>
  </si>
  <si>
    <t>P100338</t>
  </si>
  <si>
    <t>P100339</t>
  </si>
  <si>
    <t>P100340</t>
  </si>
  <si>
    <t>user_163</t>
  </si>
  <si>
    <t>P100341</t>
  </si>
  <si>
    <t>user_266</t>
  </si>
  <si>
    <t>P100342</t>
  </si>
  <si>
    <t>P100343</t>
  </si>
  <si>
    <t>P100344</t>
  </si>
  <si>
    <t>user_224</t>
  </si>
  <si>
    <t>P100345</t>
  </si>
  <si>
    <t>P100346</t>
  </si>
  <si>
    <t>user_97</t>
  </si>
  <si>
    <t>P100347</t>
  </si>
  <si>
    <t>P100348</t>
  </si>
  <si>
    <t>P100349</t>
  </si>
  <si>
    <t>P100350</t>
  </si>
  <si>
    <t>P100351</t>
  </si>
  <si>
    <t>P100352</t>
  </si>
  <si>
    <t>user_218</t>
  </si>
  <si>
    <t>P100353</t>
  </si>
  <si>
    <t>user_23</t>
  </si>
  <si>
    <t>P100354</t>
  </si>
  <si>
    <t>P100355</t>
  </si>
  <si>
    <t>P100356</t>
  </si>
  <si>
    <t>P100357</t>
  </si>
  <si>
    <t>P100358</t>
  </si>
  <si>
    <t>user_185</t>
  </si>
  <si>
    <t>P100359</t>
  </si>
  <si>
    <t>user_187</t>
  </si>
  <si>
    <t>P100360</t>
  </si>
  <si>
    <t>user_280</t>
  </si>
  <si>
    <t>P100361</t>
  </si>
  <si>
    <t>user_236</t>
  </si>
  <si>
    <t>P100362</t>
  </si>
  <si>
    <t>P100363</t>
  </si>
  <si>
    <t>P100364</t>
  </si>
  <si>
    <t>P100365</t>
  </si>
  <si>
    <t>P100366</t>
  </si>
  <si>
    <t>user_95</t>
  </si>
  <si>
    <t>P100367</t>
  </si>
  <si>
    <t>P100368</t>
  </si>
  <si>
    <t>P100369</t>
  </si>
  <si>
    <t>user_191</t>
  </si>
  <si>
    <t>P100370</t>
  </si>
  <si>
    <t>P100371</t>
  </si>
  <si>
    <t>P100372</t>
  </si>
  <si>
    <t>P100373</t>
  </si>
  <si>
    <t>P100374</t>
  </si>
  <si>
    <t>user_19</t>
  </si>
  <si>
    <t>P100375</t>
  </si>
  <si>
    <t>user_192</t>
  </si>
  <si>
    <t>P100376</t>
  </si>
  <si>
    <t>user_26</t>
  </si>
  <si>
    <t>P100377</t>
  </si>
  <si>
    <t>P100378</t>
  </si>
  <si>
    <t>P100379</t>
  </si>
  <si>
    <t>user_24</t>
  </si>
  <si>
    <t>P100380</t>
  </si>
  <si>
    <t>P100381</t>
  </si>
  <si>
    <t>P100382</t>
  </si>
  <si>
    <t>P100383</t>
  </si>
  <si>
    <t>user_25</t>
  </si>
  <si>
    <t>P100384</t>
  </si>
  <si>
    <t>P100385</t>
  </si>
  <si>
    <t>P100386</t>
  </si>
  <si>
    <t>P100387</t>
  </si>
  <si>
    <t>P100388</t>
  </si>
  <si>
    <t>user_167</t>
  </si>
  <si>
    <t>P100389</t>
  </si>
  <si>
    <t>user_230</t>
  </si>
  <si>
    <t>P100390</t>
  </si>
  <si>
    <t>P100391</t>
  </si>
  <si>
    <t>P100392</t>
  </si>
  <si>
    <t>user_84</t>
  </si>
  <si>
    <t>P100393</t>
  </si>
  <si>
    <t>P100394</t>
  </si>
  <si>
    <t>P100395</t>
  </si>
  <si>
    <t>user_74</t>
  </si>
  <si>
    <t>P100396</t>
  </si>
  <si>
    <t>P100397</t>
  </si>
  <si>
    <t>P100398</t>
  </si>
  <si>
    <t>P100399</t>
  </si>
  <si>
    <t>P100400</t>
  </si>
  <si>
    <t>P100401</t>
  </si>
  <si>
    <t>P100402</t>
  </si>
  <si>
    <t>P100403</t>
  </si>
  <si>
    <t>P100404</t>
  </si>
  <si>
    <t>P100405</t>
  </si>
  <si>
    <t>user_21</t>
  </si>
  <si>
    <t>P100406</t>
  </si>
  <si>
    <t>P100407</t>
  </si>
  <si>
    <t>P100408</t>
  </si>
  <si>
    <t>P100409</t>
  </si>
  <si>
    <t>P100410</t>
  </si>
  <si>
    <t>P100411</t>
  </si>
  <si>
    <t>user_178</t>
  </si>
  <si>
    <t>P100412</t>
  </si>
  <si>
    <t>P100413</t>
  </si>
  <si>
    <t>P100414</t>
  </si>
  <si>
    <t>P100415</t>
  </si>
  <si>
    <t>P100416</t>
  </si>
  <si>
    <t>P100417</t>
  </si>
  <si>
    <t>user_237</t>
  </si>
  <si>
    <t>P100418</t>
  </si>
  <si>
    <t>P100419</t>
  </si>
  <si>
    <t>P100420</t>
  </si>
  <si>
    <t>P100421</t>
  </si>
  <si>
    <t>P100422</t>
  </si>
  <si>
    <t>P100423</t>
  </si>
  <si>
    <t>P100424</t>
  </si>
  <si>
    <t>P100425</t>
  </si>
  <si>
    <t>user_214</t>
  </si>
  <si>
    <t>P100426</t>
  </si>
  <si>
    <t>P100427</t>
  </si>
  <si>
    <t>P100428</t>
  </si>
  <si>
    <t>P100429</t>
  </si>
  <si>
    <t>P100430</t>
  </si>
  <si>
    <t>P100431</t>
  </si>
  <si>
    <t>user_150</t>
  </si>
  <si>
    <t>P100432</t>
  </si>
  <si>
    <t>P100433</t>
  </si>
  <si>
    <t>P100434</t>
  </si>
  <si>
    <t>P100435</t>
  </si>
  <si>
    <t>user_197</t>
  </si>
  <si>
    <t>P100436</t>
  </si>
  <si>
    <t>P100437</t>
  </si>
  <si>
    <t>user_215</t>
  </si>
  <si>
    <t>P100438</t>
  </si>
  <si>
    <t>P100439</t>
  </si>
  <si>
    <t>P100440</t>
  </si>
  <si>
    <t>P100441</t>
  </si>
  <si>
    <t>P100442</t>
  </si>
  <si>
    <t>P100443</t>
  </si>
  <si>
    <t>user_10</t>
  </si>
  <si>
    <t>P100444</t>
  </si>
  <si>
    <t>P100445</t>
  </si>
  <si>
    <t>P100446</t>
  </si>
  <si>
    <t>P100447</t>
  </si>
  <si>
    <t>P100448</t>
  </si>
  <si>
    <t>P100449</t>
  </si>
  <si>
    <t>P100450</t>
  </si>
  <si>
    <t>P100451</t>
  </si>
  <si>
    <t>P100452</t>
  </si>
  <si>
    <t>P100453</t>
  </si>
  <si>
    <t>P100454</t>
  </si>
  <si>
    <t>P100455</t>
  </si>
  <si>
    <t>user_50</t>
  </si>
  <si>
    <t>P100456</t>
  </si>
  <si>
    <t>P100457</t>
  </si>
  <si>
    <t>P100458</t>
  </si>
  <si>
    <t>user_283</t>
  </si>
  <si>
    <t>P100459</t>
  </si>
  <si>
    <t>P100460</t>
  </si>
  <si>
    <t>P100461</t>
  </si>
  <si>
    <t>P100462</t>
  </si>
  <si>
    <t>P100463</t>
  </si>
  <si>
    <t>P100464</t>
  </si>
  <si>
    <t>P100465</t>
  </si>
  <si>
    <t>P100466</t>
  </si>
  <si>
    <t>P100467</t>
  </si>
  <si>
    <t>P100468</t>
  </si>
  <si>
    <t>P100469</t>
  </si>
  <si>
    <t>P100470</t>
  </si>
  <si>
    <t>user_172</t>
  </si>
  <si>
    <t>P100471</t>
  </si>
  <si>
    <t>P100472</t>
  </si>
  <si>
    <t>P100473</t>
  </si>
  <si>
    <t>P100474</t>
  </si>
  <si>
    <t>P100475</t>
  </si>
  <si>
    <t>P100476</t>
  </si>
  <si>
    <t>P100477</t>
  </si>
  <si>
    <t>P100478</t>
  </si>
  <si>
    <t>P100479</t>
  </si>
  <si>
    <t>user_203</t>
  </si>
  <si>
    <t>P100480</t>
  </si>
  <si>
    <t>P100481</t>
  </si>
  <si>
    <t>P100482</t>
  </si>
  <si>
    <t>user_152</t>
  </si>
  <si>
    <t>P100483</t>
  </si>
  <si>
    <t>P100484</t>
  </si>
  <si>
    <t>P100485</t>
  </si>
  <si>
    <t>P100486</t>
  </si>
  <si>
    <t>P100487</t>
  </si>
  <si>
    <t>P100488</t>
  </si>
  <si>
    <t>P100489</t>
  </si>
  <si>
    <t>P100490</t>
  </si>
  <si>
    <t>P100491</t>
  </si>
  <si>
    <t>P100492</t>
  </si>
  <si>
    <t>user_239</t>
  </si>
  <si>
    <t>P100493</t>
  </si>
  <si>
    <t>P100494</t>
  </si>
  <si>
    <t>user_195</t>
  </si>
  <si>
    <t>P100495</t>
  </si>
  <si>
    <t>P100496</t>
  </si>
  <si>
    <t>P100497</t>
  </si>
  <si>
    <t>P100498</t>
  </si>
  <si>
    <t>user_278</t>
  </si>
  <si>
    <t>P100499</t>
  </si>
  <si>
    <t>user_83</t>
  </si>
  <si>
    <t>P100500</t>
  </si>
  <si>
    <t>followers_at_post</t>
  </si>
  <si>
    <t>following_at_post</t>
  </si>
  <si>
    <t>saves</t>
  </si>
  <si>
    <t>profile_visits</t>
  </si>
  <si>
    <t>follower_gain</t>
  </si>
  <si>
    <t>posting_hour</t>
  </si>
  <si>
    <t>Row Labels</t>
  </si>
  <si>
    <t>Jan</t>
  </si>
  <si>
    <t>Feb</t>
  </si>
  <si>
    <t>Mar</t>
  </si>
  <si>
    <t>Apr</t>
  </si>
  <si>
    <t>May</t>
  </si>
  <si>
    <t>Jun</t>
  </si>
  <si>
    <t>Jul</t>
  </si>
  <si>
    <t>Aug</t>
  </si>
  <si>
    <t>Sep</t>
  </si>
  <si>
    <t>Oct</t>
  </si>
  <si>
    <t>Nov</t>
  </si>
  <si>
    <t>Dec</t>
  </si>
  <si>
    <t>Column Labels</t>
  </si>
  <si>
    <t>Count of post_id</t>
  </si>
  <si>
    <t>Max of followers_at_post</t>
  </si>
  <si>
    <t>Total Followers</t>
  </si>
  <si>
    <t>Total New Followers</t>
  </si>
  <si>
    <t>Sum of follower_gain</t>
  </si>
  <si>
    <t>Avg Engagement %</t>
  </si>
  <si>
    <t>Average of engagement_rate</t>
  </si>
  <si>
    <t>Avg Reach per Post</t>
  </si>
  <si>
    <t>Average of reach</t>
  </si>
  <si>
    <t>Total Saves</t>
  </si>
  <si>
    <t>Sum of saves</t>
  </si>
  <si>
    <t>Content Performance by Engagement</t>
  </si>
  <si>
    <t>Best Time to Post (by Reach)</t>
  </si>
  <si>
    <t>Follower Growth Over Time</t>
  </si>
  <si>
    <t>posting_time_label</t>
  </si>
  <si>
    <t>1 PM</t>
  </si>
  <si>
    <t>10 AM</t>
  </si>
  <si>
    <t>10 PM</t>
  </si>
  <si>
    <t>11 AM</t>
  </si>
  <si>
    <t>11 PM</t>
  </si>
  <si>
    <t>12 PM</t>
  </si>
  <si>
    <t>2 PM</t>
  </si>
  <si>
    <t>3 PM</t>
  </si>
  <si>
    <t>4 PM</t>
  </si>
  <si>
    <t>5 PM</t>
  </si>
  <si>
    <t>6 AM</t>
  </si>
  <si>
    <t>6 PM</t>
  </si>
  <si>
    <t>7 AM</t>
  </si>
  <si>
    <t>7 PM</t>
  </si>
  <si>
    <t>8 AM</t>
  </si>
  <si>
    <t>8 PM</t>
  </si>
  <si>
    <t>9 AM</t>
  </si>
  <si>
    <t>9 PM</t>
  </si>
  <si>
    <t>Engagement Drivers</t>
  </si>
  <si>
    <t>Average of likes</t>
  </si>
  <si>
    <t>Average of comments</t>
  </si>
  <si>
    <t>Average of shares</t>
  </si>
  <si>
    <t>Profile Visits vs New Followers</t>
  </si>
  <si>
    <t>Average of profile_visits</t>
  </si>
  <si>
    <t>Average of follower_gain</t>
  </si>
  <si>
    <t>Reach by Content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</si>
</sst>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
    <numFmt numFmtId="165" formatCode="[&gt;=1000000]#,##0.0,,&quot;M&quot;;[&gt;=1000]#,##0,&quot;K&quot;;0"/>
  </numFmts>
  <fonts count="2" x14ac:knownFonts="1">
    <font>
      <sz val="11"/>
      <color theme="1"/>
      <name val="Calibri"/>
      <family val="2"/>
      <scheme val="minor"/>
    </font>
    <font>
      <sz val="11"/>
      <color theme="1"/>
      <name val="Calibri"/>
      <family val="2"/>
      <scheme val="minor"/>
    </font>
  </fonts>
  <fills count="7">
    <fill>
      <patternFill patternType="none"/>
    </fill>
    <fill>
      <patternFill patternType="gray125"/>
    </fill>
    <fill>
      <patternFill patternType="solid">
        <fgColor rgb="FF00B050"/>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7"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4" fontId="1" fillId="0" borderId="0" applyFont="0" applyFill="0" applyBorder="0" applyAlignment="0" applyProtection="0"/>
  </cellStyleXfs>
  <cellXfs count="27">
    <xf numFmtId="0" fontId="0" fillId="0" borderId="0" xfId="0"/>
    <xf numFmtId="0" fontId="0" fillId="0" borderId="1" xfId="0" applyBorder="1"/>
    <xf numFmtId="10" fontId="0" fillId="0" borderId="1" xfId="0" applyNumberFormat="1" applyBorder="1"/>
    <xf numFmtId="0" fontId="0" fillId="0" borderId="2" xfId="0" applyBorder="1"/>
    <xf numFmtId="0" fontId="0" fillId="0" borderId="3"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0" fontId="0" fillId="0" borderId="0" xfId="0" applyNumberFormat="1"/>
    <xf numFmtId="14" fontId="0" fillId="0" borderId="1" xfId="0" applyNumberFormat="1" applyBorder="1"/>
    <xf numFmtId="14" fontId="0" fillId="0" borderId="8" xfId="0" applyNumberFormat="1" applyBorder="1"/>
    <xf numFmtId="0" fontId="0" fillId="2" borderId="4" xfId="0" applyFill="1" applyBorder="1"/>
    <xf numFmtId="0" fontId="0" fillId="2" borderId="5" xfId="0" applyFill="1" applyBorder="1"/>
    <xf numFmtId="10" fontId="0" fillId="2" borderId="5" xfId="0" applyNumberFormat="1" applyFill="1" applyBorder="1"/>
    <xf numFmtId="0" fontId="0" fillId="2" borderId="6" xfId="0" applyFill="1" applyBorder="1"/>
    <xf numFmtId="0" fontId="0" fillId="3" borderId="0" xfId="0" applyFill="1"/>
    <xf numFmtId="164" fontId="0" fillId="0" borderId="0" xfId="0" applyNumberFormat="1"/>
    <xf numFmtId="1" fontId="0" fillId="0" borderId="0" xfId="0" applyNumberFormat="1"/>
    <xf numFmtId="0" fontId="0" fillId="0" borderId="5" xfId="0" applyBorder="1"/>
    <xf numFmtId="0" fontId="0" fillId="6" borderId="0" xfId="0" applyFill="1"/>
    <xf numFmtId="165" fontId="0" fillId="0" borderId="0" xfId="0" applyNumberFormat="1"/>
    <xf numFmtId="44" fontId="0" fillId="6" borderId="0" xfId="1" applyFont="1" applyFill="1"/>
    <xf numFmtId="0" fontId="0" fillId="4" borderId="0" xfId="0" applyFill="1" applyAlignment="1">
      <alignment horizontal="center"/>
    </xf>
    <xf numFmtId="0" fontId="0" fillId="5" borderId="0" xfId="0" applyFill="1" applyAlignment="1">
      <alignment horizontal="center"/>
    </xf>
    <xf numFmtId="0" fontId="0" fillId="0" borderId="0" xfId="0" applyNumberFormat="1"/>
  </cellXfs>
  <cellStyles count="2">
    <cellStyle name="Currency" xfId="1" builtinId="4"/>
    <cellStyle name="Normal" xfId="0" builtinId="0"/>
  </cellStyles>
  <dxfs count="24">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4" formatCode="0.0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rgb="FF00B050"/>
        </patternFill>
      </fill>
      <border diagonalUp="0" diagonalDown="0" outline="0">
        <left style="thin">
          <color indexed="64"/>
        </left>
        <right style="thin">
          <color indexed="64"/>
        </right>
        <top/>
        <bottom/>
      </border>
    </dxf>
  </dxfs>
  <tableStyles count="0" defaultTableStyle="TableStyleMedium9" defaultPivotStyle="PivotStyleLight16"/>
  <colors>
    <mruColors>
      <color rgb="FF6B7280"/>
      <color rgb="FF1F2937"/>
      <color rgb="FFFFFFFF"/>
      <color rgb="FFF6F8FB"/>
      <color rgb="FF2563EB"/>
      <color rgb="FFE5E7EB"/>
      <color rgb="FF111827"/>
      <color rgb="FF1D4ED8"/>
      <color rgb="FFF7F9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[Instagram_Analytics.xlsx]PT_Chart!PivotTable6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Content Performance by Engagement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PT_Chart!$B$5</c:f>
              <c:strCache>
                <c:ptCount val="1"/>
                <c:pt idx="0">
                  <c:v>Total</c:v>
                </c:pt>
              </c:strCache>
            </c:strRef>
          </c:tx>
          <c:spPr>
            <a:solidFill>
              <a:schemeClr val="accent1"/>
            </a:solidFill>
            <a:ln>
              <a:noFill/>
            </a:ln>
            <a:effectLst/>
          </c:spPr>
          <c:invertIfNegative val="0"/>
          <c:cat>
            <c:strRef>
              <c:f>PT_Chart!$A$6:$A$8</c:f>
              <c:strCache>
                <c:ptCount val="3"/>
                <c:pt idx="0">
                  <c:v>Carousel</c:v>
                </c:pt>
                <c:pt idx="1">
                  <c:v>Image</c:v>
                </c:pt>
                <c:pt idx="2">
                  <c:v>Reel</c:v>
                </c:pt>
              </c:strCache>
            </c:strRef>
          </c:cat>
          <c:val>
            <c:numRef>
              <c:f>PT_Chart!$B$6:$B$8</c:f>
              <c:numCache>
                <c:formatCode>0.0%</c:formatCode>
                <c:ptCount val="3"/>
                <c:pt idx="0">
                  <c:v>9.6845645364479233E-2</c:v>
                </c:pt>
                <c:pt idx="1">
                  <c:v>9.796126352280389E-2</c:v>
                </c:pt>
                <c:pt idx="2">
                  <c:v>9.358614097790402E-2</c:v>
                </c:pt>
              </c:numCache>
            </c:numRef>
          </c:val>
          <c:extLst>
            <c:ext xmlns:c16="http://schemas.microsoft.com/office/drawing/2014/chart" uri="{C3380CC4-5D6E-409C-BE32-E72D297353CC}">
              <c16:uniqueId val="{00000000-3028-4ED3-9804-053FE30522A4}"/>
            </c:ext>
          </c:extLst>
        </c:ser>
        <c:dLbls>
          <c:showLegendKey val="0"/>
          <c:showVal val="0"/>
          <c:showCatName val="0"/>
          <c:showSerName val="0"/>
          <c:showPercent val="0"/>
          <c:showBubbleSize val="0"/>
        </c:dLbls>
        <c:gapWidth val="182"/>
        <c:axId val="1284926928"/>
        <c:axId val="1284925008"/>
      </c:barChart>
      <c:catAx>
        <c:axId val="128492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925008"/>
        <c:crosses val="autoZero"/>
        <c:auto val="1"/>
        <c:lblAlgn val="ctr"/>
        <c:lblOffset val="100"/>
        <c:noMultiLvlLbl val="0"/>
      </c:catAx>
      <c:valAx>
        <c:axId val="1284925008"/>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92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[Instagram_Analytics.xlsx]PT_Chart!PivotTable7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 Time to Post (by Reach)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PT_Chart!$K$5</c:f>
              <c:strCache>
                <c:ptCount val="1"/>
                <c:pt idx="0">
                  <c:v>Total</c:v>
                </c:pt>
              </c:strCache>
            </c:strRef>
          </c:tx>
          <c:spPr>
            <a:solidFill>
              <a:schemeClr val="accent1"/>
            </a:solidFill>
            <a:ln>
              <a:noFill/>
            </a:ln>
            <a:effectLst/>
          </c:spPr>
          <c:invertIfNegative val="0"/>
          <c:cat>
            <c:strRef>
              <c:f>PT_Chart!$J$6:$J$23</c:f>
              <c:strCache>
                <c:ptCount val="18"/>
                <c:pt idx="0">
                  <c:v>8 PM</c:v>
                </c:pt>
                <c:pt idx="1">
                  <c:v>2 PM</c:v>
                </c:pt>
                <c:pt idx="2">
                  <c:v>10 PM</c:v>
                </c:pt>
                <c:pt idx="3">
                  <c:v>10 AM</c:v>
                </c:pt>
                <c:pt idx="4">
                  <c:v>6 PM</c:v>
                </c:pt>
                <c:pt idx="5">
                  <c:v>9 PM</c:v>
                </c:pt>
                <c:pt idx="6">
                  <c:v>6 AM</c:v>
                </c:pt>
                <c:pt idx="7">
                  <c:v>11 AM</c:v>
                </c:pt>
                <c:pt idx="8">
                  <c:v>3 PM</c:v>
                </c:pt>
                <c:pt idx="9">
                  <c:v>7 AM</c:v>
                </c:pt>
                <c:pt idx="10">
                  <c:v>5 PM</c:v>
                </c:pt>
                <c:pt idx="11">
                  <c:v>7 PM</c:v>
                </c:pt>
                <c:pt idx="12">
                  <c:v>8 AM</c:v>
                </c:pt>
                <c:pt idx="13">
                  <c:v>12 PM</c:v>
                </c:pt>
                <c:pt idx="14">
                  <c:v>1 PM</c:v>
                </c:pt>
                <c:pt idx="15">
                  <c:v>11 PM</c:v>
                </c:pt>
                <c:pt idx="16">
                  <c:v>4 PM</c:v>
                </c:pt>
                <c:pt idx="17">
                  <c:v>9 AM</c:v>
                </c:pt>
              </c:strCache>
            </c:strRef>
          </c:cat>
          <c:val>
            <c:numRef>
              <c:f>PT_Chart!$K$6:$K$23</c:f>
              <c:numCache>
                <c:formatCode>0</c:formatCode>
                <c:ptCount val="18"/>
                <c:pt idx="0">
                  <c:v>77459.25</c:v>
                </c:pt>
                <c:pt idx="1">
                  <c:v>76775.958333333328</c:v>
                </c:pt>
                <c:pt idx="2">
                  <c:v>69249.862068965522</c:v>
                </c:pt>
                <c:pt idx="3">
                  <c:v>68828.741935483864</c:v>
                </c:pt>
                <c:pt idx="4">
                  <c:v>67515.7</c:v>
                </c:pt>
                <c:pt idx="5">
                  <c:v>64676.142857142855</c:v>
                </c:pt>
                <c:pt idx="6">
                  <c:v>60692.892857142855</c:v>
                </c:pt>
                <c:pt idx="7">
                  <c:v>59271.416666666664</c:v>
                </c:pt>
                <c:pt idx="8">
                  <c:v>58097.599999999999</c:v>
                </c:pt>
                <c:pt idx="9">
                  <c:v>56886.741935483871</c:v>
                </c:pt>
                <c:pt idx="10">
                  <c:v>56876.681818181816</c:v>
                </c:pt>
                <c:pt idx="11">
                  <c:v>51560.862068965514</c:v>
                </c:pt>
                <c:pt idx="12">
                  <c:v>50572.238095238092</c:v>
                </c:pt>
                <c:pt idx="13">
                  <c:v>50149.76666666667</c:v>
                </c:pt>
                <c:pt idx="14">
                  <c:v>50070.676470588238</c:v>
                </c:pt>
                <c:pt idx="15">
                  <c:v>49067.923076923078</c:v>
                </c:pt>
                <c:pt idx="16">
                  <c:v>46966</c:v>
                </c:pt>
                <c:pt idx="17">
                  <c:v>33214.296296296299</c:v>
                </c:pt>
              </c:numCache>
            </c:numRef>
          </c:val>
          <c:extLst>
            <c:ext xmlns:c16="http://schemas.microsoft.com/office/drawing/2014/chart" uri="{C3380CC4-5D6E-409C-BE32-E72D297353CC}">
              <c16:uniqueId val="{00000000-FE57-4D36-BA3B-16385613D670}"/>
            </c:ext>
          </c:extLst>
        </c:ser>
        <c:dLbls>
          <c:showLegendKey val="0"/>
          <c:showVal val="0"/>
          <c:showCatName val="0"/>
          <c:showSerName val="0"/>
          <c:showPercent val="0"/>
          <c:showBubbleSize val="0"/>
        </c:dLbls>
        <c:gapWidth val="182"/>
        <c:axId val="1412535360"/>
        <c:axId val="1412536800"/>
      </c:barChart>
      <c:catAx>
        <c:axId val="1412535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536800"/>
        <c:crosses val="autoZero"/>
        <c:auto val="1"/>
        <c:lblAlgn val="ctr"/>
        <c:lblOffset val="100"/>
        <c:noMultiLvlLbl val="0"/>
      </c:catAx>
      <c:valAx>
        <c:axId val="14125368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535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[Instagram_Analytics.xlsx]PT_Chart!PivotTable8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Follower Gain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PT_Chart!$B$33</c:f>
              <c:strCache>
                <c:ptCount val="1"/>
                <c:pt idx="0">
                  <c:v>Total</c:v>
                </c:pt>
              </c:strCache>
            </c:strRef>
          </c:tx>
          <c:spPr>
            <a:ln w="28575" cap="rnd">
              <a:solidFill>
                <a:schemeClr val="accent1"/>
              </a:solidFill>
              <a:round/>
            </a:ln>
            <a:effectLst/>
          </c:spPr>
          <c:marker>
            <c:symbol val="none"/>
          </c:marker>
          <c:cat>
            <c:strRef>
              <c:f>PT_Chart!$A$34:$A$45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PT_Chart!$B$34:$B$45</c:f>
              <c:numCache>
                <c:formatCode>General</c:formatCode>
                <c:ptCount val="12"/>
                <c:pt idx="0">
                  <c:v>10102</c:v>
                </c:pt>
                <c:pt idx="1">
                  <c:v>8164</c:v>
                </c:pt>
                <c:pt idx="2">
                  <c:v>6484</c:v>
                </c:pt>
                <c:pt idx="3">
                  <c:v>8377</c:v>
                </c:pt>
                <c:pt idx="4">
                  <c:v>6767</c:v>
                </c:pt>
                <c:pt idx="5">
                  <c:v>13431</c:v>
                </c:pt>
                <c:pt idx="6">
                  <c:v>8571</c:v>
                </c:pt>
                <c:pt idx="7">
                  <c:v>7911</c:v>
                </c:pt>
                <c:pt idx="8">
                  <c:v>5750</c:v>
                </c:pt>
                <c:pt idx="9">
                  <c:v>9757</c:v>
                </c:pt>
                <c:pt idx="10">
                  <c:v>5173</c:v>
                </c:pt>
                <c:pt idx="11">
                  <c:v>12447</c:v>
                </c:pt>
              </c:numCache>
            </c:numRef>
          </c:val>
          <c:smooth val="0"/>
          <c:extLst>
            <c:ext xmlns:c16="http://schemas.microsoft.com/office/drawing/2014/chart" uri="{C3380CC4-5D6E-409C-BE32-E72D297353CC}">
              <c16:uniqueId val="{00000000-F5F5-43CC-9D43-D25C8BC2478C}"/>
            </c:ext>
          </c:extLst>
        </c:ser>
        <c:dLbls>
          <c:showLegendKey val="0"/>
          <c:showVal val="0"/>
          <c:showCatName val="0"/>
          <c:showSerName val="0"/>
          <c:showPercent val="0"/>
          <c:showBubbleSize val="0"/>
        </c:dLbls>
        <c:smooth val="0"/>
        <c:axId val="1121746928"/>
        <c:axId val="1121749808"/>
      </c:lineChart>
      <c:catAx>
        <c:axId val="112174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749808"/>
        <c:crosses val="autoZero"/>
        <c:auto val="1"/>
        <c:lblAlgn val="ctr"/>
        <c:lblOffset val="100"/>
        <c:noMultiLvlLbl val="0"/>
      </c:catAx>
      <c:valAx>
        <c:axId val="1121749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74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[Instagram_Analytics.xlsx]PT_Chart!PivotTable1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PT_Chart!$B$55</c:f>
              <c:strCache>
                <c:ptCount val="1"/>
                <c:pt idx="0">
                  <c:v>Average of likes</c:v>
                </c:pt>
              </c:strCache>
            </c:strRef>
          </c:tx>
          <c:spPr>
            <a:solidFill>
              <a:schemeClr val="accent1"/>
            </a:solidFill>
            <a:ln>
              <a:noFill/>
            </a:ln>
            <a:effectLst/>
          </c:spPr>
          <c:invertIfNegative val="0"/>
          <c:cat>
            <c:strRef>
              <c:f>PT_Chart!$A$56:$A$58</c:f>
              <c:strCache>
                <c:ptCount val="3"/>
                <c:pt idx="0">
                  <c:v>Carousel</c:v>
                </c:pt>
                <c:pt idx="1">
                  <c:v>Image</c:v>
                </c:pt>
                <c:pt idx="2">
                  <c:v>Reel</c:v>
                </c:pt>
              </c:strCache>
            </c:strRef>
          </c:cat>
          <c:val>
            <c:numRef>
              <c:f>PT_Chart!$B$56:$B$58</c:f>
              <c:numCache>
                <c:formatCode>0</c:formatCode>
                <c:ptCount val="3"/>
                <c:pt idx="0">
                  <c:v>18890.525000000001</c:v>
                </c:pt>
                <c:pt idx="1">
                  <c:v>19135.031645569619</c:v>
                </c:pt>
                <c:pt idx="2">
                  <c:v>19573.945054945056</c:v>
                </c:pt>
              </c:numCache>
            </c:numRef>
          </c:val>
          <c:extLst>
            <c:ext xmlns:c16="http://schemas.microsoft.com/office/drawing/2014/chart" uri="{C3380CC4-5D6E-409C-BE32-E72D297353CC}">
              <c16:uniqueId val="{00000000-6348-4864-8664-85A2D40C6D1D}"/>
            </c:ext>
          </c:extLst>
        </c:ser>
        <c:ser>
          <c:idx val="1"/>
          <c:order val="1"/>
          <c:tx>
            <c:strRef>
              <c:f>PT_Chart!$C$55</c:f>
              <c:strCache>
                <c:ptCount val="1"/>
                <c:pt idx="0">
                  <c:v>Average of shares</c:v>
                </c:pt>
              </c:strCache>
            </c:strRef>
          </c:tx>
          <c:spPr>
            <a:solidFill>
              <a:schemeClr val="accent2"/>
            </a:solidFill>
            <a:ln w="25400">
              <a:noFill/>
            </a:ln>
            <a:effectLst/>
          </c:spPr>
          <c:invertIfNegative val="0"/>
          <c:cat>
            <c:strRef>
              <c:f>PT_Chart!$A$56:$A$58</c:f>
              <c:strCache>
                <c:ptCount val="3"/>
                <c:pt idx="0">
                  <c:v>Carousel</c:v>
                </c:pt>
                <c:pt idx="1">
                  <c:v>Image</c:v>
                </c:pt>
                <c:pt idx="2">
                  <c:v>Reel</c:v>
                </c:pt>
              </c:strCache>
            </c:strRef>
          </c:cat>
          <c:val>
            <c:numRef>
              <c:f>PT_Chart!$C$56:$C$58</c:f>
              <c:numCache>
                <c:formatCode>0</c:formatCode>
                <c:ptCount val="3"/>
                <c:pt idx="0">
                  <c:v>2878.9749999999999</c:v>
                </c:pt>
                <c:pt idx="1">
                  <c:v>2662.2278481012659</c:v>
                </c:pt>
                <c:pt idx="2">
                  <c:v>3133.8791208791208</c:v>
                </c:pt>
              </c:numCache>
            </c:numRef>
          </c:val>
          <c:extLst>
            <c:ext xmlns:c16="http://schemas.microsoft.com/office/drawing/2014/chart" uri="{C3380CC4-5D6E-409C-BE32-E72D297353CC}">
              <c16:uniqueId val="{00000001-6348-4864-8664-85A2D40C6D1D}"/>
            </c:ext>
          </c:extLst>
        </c:ser>
        <c:ser>
          <c:idx val="2"/>
          <c:order val="2"/>
          <c:tx>
            <c:strRef>
              <c:f>PT_Chart!$D$55</c:f>
              <c:strCache>
                <c:ptCount val="1"/>
                <c:pt idx="0">
                  <c:v>Average of comments</c:v>
                </c:pt>
              </c:strCache>
            </c:strRef>
          </c:tx>
          <c:spPr>
            <a:solidFill>
              <a:schemeClr val="accent3"/>
            </a:solidFill>
            <a:ln w="25400">
              <a:noFill/>
            </a:ln>
            <a:effectLst/>
          </c:spPr>
          <c:invertIfNegative val="0"/>
          <c:cat>
            <c:strRef>
              <c:f>PT_Chart!$A$56:$A$58</c:f>
              <c:strCache>
                <c:ptCount val="3"/>
                <c:pt idx="0">
                  <c:v>Carousel</c:v>
                </c:pt>
                <c:pt idx="1">
                  <c:v>Image</c:v>
                </c:pt>
                <c:pt idx="2">
                  <c:v>Reel</c:v>
                </c:pt>
              </c:strCache>
            </c:strRef>
          </c:cat>
          <c:val>
            <c:numRef>
              <c:f>PT_Chart!$D$56:$D$58</c:f>
              <c:numCache>
                <c:formatCode>0</c:formatCode>
                <c:ptCount val="3"/>
                <c:pt idx="0">
                  <c:v>2051.59375</c:v>
                </c:pt>
                <c:pt idx="1">
                  <c:v>2065.6518987341774</c:v>
                </c:pt>
                <c:pt idx="2">
                  <c:v>1925.1593406593406</c:v>
                </c:pt>
              </c:numCache>
            </c:numRef>
          </c:val>
          <c:extLst>
            <c:ext xmlns:c16="http://schemas.microsoft.com/office/drawing/2014/chart" uri="{C3380CC4-5D6E-409C-BE32-E72D297353CC}">
              <c16:uniqueId val="{00000002-6348-4864-8664-85A2D40C6D1D}"/>
            </c:ext>
          </c:extLst>
        </c:ser>
        <c:dLbls>
          <c:showLegendKey val="0"/>
          <c:showVal val="0"/>
          <c:showCatName val="0"/>
          <c:showSerName val="0"/>
          <c:showPercent val="0"/>
          <c:showBubbleSize val="0"/>
        </c:dLbls>
        <c:gapWidth val="219"/>
        <c:axId val="1043176047"/>
        <c:axId val="1043179887"/>
      </c:barChart>
      <c:catAx>
        <c:axId val="104317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179887"/>
        <c:crosses val="autoZero"/>
        <c:auto val="1"/>
        <c:lblAlgn val="ctr"/>
        <c:lblOffset val="100"/>
        <c:noMultiLvlLbl val="0"/>
      </c:catAx>
      <c:valAx>
        <c:axId val="1043179887"/>
        <c:scaling>
          <c:orientation val="minMax"/>
          <c:min val="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17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[Instagram_Analytics.xlsx]PT_Chart!PivotTable2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Profile Visits vs New Followers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PT_Chart!$G$55</c:f>
              <c:strCache>
                <c:ptCount val="1"/>
                <c:pt idx="0">
                  <c:v>Average of profile_visits</c:v>
                </c:pt>
              </c:strCache>
            </c:strRef>
          </c:tx>
          <c:spPr>
            <a:solidFill>
              <a:schemeClr val="accent1"/>
            </a:solidFill>
            <a:ln>
              <a:noFill/>
            </a:ln>
            <a:effectLst/>
          </c:spPr>
          <c:invertIfNegative val="0"/>
          <c:cat>
            <c:strRef>
              <c:f>PT_Chart!$F$56:$F$58</c:f>
              <c:strCache>
                <c:ptCount val="3"/>
                <c:pt idx="0">
                  <c:v>Carousel</c:v>
                </c:pt>
                <c:pt idx="1">
                  <c:v>Image</c:v>
                </c:pt>
                <c:pt idx="2">
                  <c:v>Reel</c:v>
                </c:pt>
              </c:strCache>
            </c:strRef>
          </c:cat>
          <c:val>
            <c:numRef>
              <c:f>PT_Chart!$G$56:$G$58</c:f>
              <c:numCache>
                <c:formatCode>0</c:formatCode>
                <c:ptCount val="3"/>
                <c:pt idx="0">
                  <c:v>6565.8187500000004</c:v>
                </c:pt>
                <c:pt idx="1">
                  <c:v>7375.5316455696202</c:v>
                </c:pt>
                <c:pt idx="2">
                  <c:v>7515.6703296703299</c:v>
                </c:pt>
              </c:numCache>
            </c:numRef>
          </c:val>
          <c:extLst>
            <c:ext xmlns:c16="http://schemas.microsoft.com/office/drawing/2014/chart" uri="{C3380CC4-5D6E-409C-BE32-E72D297353CC}">
              <c16:uniqueId val="{00000000-B5E5-41D0-B1B0-DA4D6861F9B2}"/>
            </c:ext>
          </c:extLst>
        </c:ser>
        <c:ser>
          <c:idx val="1"/>
          <c:order val="1"/>
          <c:tx>
            <c:strRef>
              <c:f>PT_Chart!$H$55</c:f>
              <c:strCache>
                <c:ptCount val="1"/>
                <c:pt idx="0">
                  <c:v>Average of follower_gain</c:v>
                </c:pt>
              </c:strCache>
            </c:strRef>
          </c:tx>
          <c:spPr>
            <a:solidFill>
              <a:schemeClr val="accent2"/>
            </a:solidFill>
            <a:ln w="25400">
              <a:noFill/>
            </a:ln>
            <a:effectLst/>
          </c:spPr>
          <c:invertIfNegative val="0"/>
          <c:cat>
            <c:strRef>
              <c:f>PT_Chart!$F$56:$F$58</c:f>
              <c:strCache>
                <c:ptCount val="3"/>
                <c:pt idx="0">
                  <c:v>Carousel</c:v>
                </c:pt>
                <c:pt idx="1">
                  <c:v>Image</c:v>
                </c:pt>
                <c:pt idx="2">
                  <c:v>Reel</c:v>
                </c:pt>
              </c:strCache>
            </c:strRef>
          </c:cat>
          <c:val>
            <c:numRef>
              <c:f>PT_Chart!$H$56:$H$58</c:f>
              <c:numCache>
                <c:formatCode>0</c:formatCode>
                <c:ptCount val="3"/>
                <c:pt idx="0">
                  <c:v>179.0625</c:v>
                </c:pt>
                <c:pt idx="1">
                  <c:v>213.36075949367088</c:v>
                </c:pt>
                <c:pt idx="2">
                  <c:v>222.92857142857142</c:v>
                </c:pt>
              </c:numCache>
            </c:numRef>
          </c:val>
          <c:extLst>
            <c:ext xmlns:c16="http://schemas.microsoft.com/office/drawing/2014/chart" uri="{C3380CC4-5D6E-409C-BE32-E72D297353CC}">
              <c16:uniqueId val="{00000001-B5E5-41D0-B1B0-DA4D6861F9B2}"/>
            </c:ext>
          </c:extLst>
        </c:ser>
        <c:dLbls>
          <c:showLegendKey val="0"/>
          <c:showVal val="0"/>
          <c:showCatName val="0"/>
          <c:showSerName val="0"/>
          <c:showPercent val="0"/>
          <c:showBubbleSize val="0"/>
        </c:dLbls>
        <c:gapWidth val="219"/>
        <c:overlap val="-27"/>
        <c:axId val="1182410639"/>
        <c:axId val="1182420719"/>
      </c:barChart>
      <c:catAx>
        <c:axId val="118241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420719"/>
        <c:crosses val="autoZero"/>
        <c:auto val="1"/>
        <c:lblAlgn val="ctr"/>
        <c:lblOffset val="100"/>
        <c:noMultiLvlLbl val="0"/>
      </c:catAx>
      <c:valAx>
        <c:axId val="1182420719"/>
        <c:scaling>
          <c:orientation val="minMax"/>
          <c:min val="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410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[Instagram_Analytics.xlsx]PT_Chart!PivotTable4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Reach by Content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PT_Chart!$K$55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CA-47B9-8008-7A05EA7F0D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CA-47B9-8008-7A05EA7F0D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CA-47B9-8008-7A05EA7F0D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PT_Chart!$J$56:$J$58</c:f>
              <c:strCache>
                <c:ptCount val="3"/>
                <c:pt idx="0">
                  <c:v>Carousel</c:v>
                </c:pt>
                <c:pt idx="1">
                  <c:v>Image</c:v>
                </c:pt>
                <c:pt idx="2">
                  <c:v>Reel</c:v>
                </c:pt>
              </c:strCache>
            </c:strRef>
          </c:cat>
          <c:val>
            <c:numRef>
              <c:f>PT_Chart!$K$56:$K$58</c:f>
              <c:numCache>
                <c:formatCode>0</c:formatCode>
                <c:ptCount val="3"/>
                <c:pt idx="0">
                  <c:v>54891.46875</c:v>
                </c:pt>
                <c:pt idx="1">
                  <c:v>60162.518987341769</c:v>
                </c:pt>
                <c:pt idx="2">
                  <c:v>58840.302197802201</c:v>
                </c:pt>
              </c:numCache>
            </c:numRef>
          </c:val>
          <c:extLst>
            <c:ext xmlns:c16="http://schemas.microsoft.com/office/drawing/2014/chart" uri="{C3380CC4-5D6E-409C-BE32-E72D297353CC}">
              <c16:uniqueId val="{00000006-C771-47A6-ACC5-A166C106D78A}"/>
            </c:ext>
          </c:extLst>
        </c:ser>
        <c:dLbls>
          <c:showLegendKey val="0"/>
          <c:showVal val="1"/>
          <c:showCatName val="0"/>
          <c:showSerName val="0"/>
          <c:showPercent val="0"/>
          <c:showBubbleSize val="0"/>
          <c:showLeaderLines val="1"/>
        </c:dLbls>
        <c:firstSliceAng val="0"/>
        <c:holeSize val="65"/>
      </c:doughnutChart>
      <c:spPr>
        <a:noFill/>
        <a:ln>
          <a:noFill/>
        </a:ln>
        <a:effectLst>
          <a:softEdge rad="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[Instagram_Analytics.xlsx]PT_Chart!PivotTable6</c:name>
    <c:fmtId val="3"/>
  </c:pivotSource>
  <c:chart>
    <c:title>
      <c:tx>
        <c:rich>
          <a:bodyPr rot="0" spcFirstLastPara="1" vertOverflow="ellipsis" vert="horz" wrap="square" anchor="ctr" anchorCtr="1"/>
          <a:lstStyle/>
          <a:p>
            <a:pPr algn="ctr" rtl="0">
              <a:defRPr lang="en-US" sz="1200" b="0" i="0" u="none" strike="noStrike" kern="1200" spc="0" baseline="0">
                <a:solidFill>
                  <a:schemeClr val="tx1">
                    <a:lumMod val="95000"/>
                    <a:lumOff val="5000"/>
                  </a:schemeClr>
                </a:solidFill>
                <a:latin typeface="+mn-lt"/>
                <a:ea typeface="+mn-ea"/>
                <a:cs typeface="+mn-cs"/>
              </a:defRPr>
            </a:pPr>
            <a:r>
              <a:rPr lang="en-US" sz="1200" b="0" i="0" u="none" strike="noStrike" kern="1200" spc="0" baseline="0">
                <a:solidFill>
                  <a:schemeClr val="tx1">
                    <a:lumMod val="95000"/>
                    <a:lumOff val="5000"/>
                  </a:schemeClr>
                </a:solidFill>
                <a:latin typeface="+mn-lt"/>
                <a:ea typeface="+mn-ea"/>
                <a:cs typeface="+mn-cs"/>
              </a:rPr>
              <a:t>Content Performance by Engagement</a:t>
            </a: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PT_Chart!$B$5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PT_Chart!$A$6:$A$8</c:f>
              <c:strCache>
                <c:ptCount val="3"/>
                <c:pt idx="0">
                  <c:v>Carousel</c:v>
                </c:pt>
                <c:pt idx="1">
                  <c:v>Image</c:v>
                </c:pt>
                <c:pt idx="2">
                  <c:v>Reel</c:v>
                </c:pt>
              </c:strCache>
            </c:strRef>
          </c:cat>
          <c:val>
            <c:numRef>
              <c:f>PT_Chart!$B$6:$B$8</c:f>
              <c:numCache>
                <c:formatCode>0.0%</c:formatCode>
                <c:ptCount val="3"/>
                <c:pt idx="0">
                  <c:v>9.6845645364479233E-2</c:v>
                </c:pt>
                <c:pt idx="1">
                  <c:v>9.796126352280389E-2</c:v>
                </c:pt>
                <c:pt idx="2">
                  <c:v>9.358614097790402E-2</c:v>
                </c:pt>
              </c:numCache>
            </c:numRef>
          </c:val>
          <c:extLst>
            <c:ext xmlns:c16="http://schemas.microsoft.com/office/drawing/2014/chart" uri="{C3380CC4-5D6E-409C-BE32-E72D297353CC}">
              <c16:uniqueId val="{00000000-7152-420C-B5E6-8EC0A70BB5F7}"/>
            </c:ext>
          </c:extLst>
        </c:ser>
        <c:dLbls>
          <c:dLblPos val="outEnd"/>
          <c:showLegendKey val="0"/>
          <c:showVal val="1"/>
          <c:showCatName val="0"/>
          <c:showSerName val="0"/>
          <c:showPercent val="0"/>
          <c:showBubbleSize val="0"/>
        </c:dLbls>
        <c:gapWidth val="115"/>
        <c:overlap val="-20"/>
        <c:axId val="1284926928"/>
        <c:axId val="1284925008"/>
      </c:barChart>
      <c:catAx>
        <c:axId val="1284926928"/>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Post Type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925008"/>
        <c:crosses val="autoZero"/>
        <c:auto val="1"/>
        <c:lblAlgn val="ctr"/>
        <c:lblOffset val="100"/>
        <c:noMultiLvlLbl val="0"/>
      </c:catAx>
      <c:valAx>
        <c:axId val="12849250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Engagement %</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92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[Instagram_Analytics.xlsx]PT_Chart!PivotTable7</c:name>
    <c:fmtId val="3"/>
  </c:pivotSource>
  <c:chart>
    <c:title>
      <c:tx>
        <c:rich>
          <a:bodyPr rot="0" spcFirstLastPara="1" vertOverflow="ellipsis" vert="horz" wrap="square" anchor="ctr" anchorCtr="1"/>
          <a:lstStyle/>
          <a:p>
            <a:pPr algn="ctr" rtl="0">
              <a:defRPr lang="en-US" sz="1200" b="0" i="0" u="none" strike="noStrike" kern="1200" spc="0" baseline="0">
                <a:solidFill>
                  <a:schemeClr val="tx1">
                    <a:lumMod val="95000"/>
                    <a:lumOff val="5000"/>
                  </a:schemeClr>
                </a:solidFill>
                <a:latin typeface="+mn-lt"/>
                <a:ea typeface="+mn-ea"/>
                <a:cs typeface="+mn-cs"/>
              </a:defRPr>
            </a:pPr>
            <a:r>
              <a:rPr lang="en-US" sz="1200" b="0" i="0" u="none" strike="noStrike" kern="1200" spc="0" baseline="0">
                <a:solidFill>
                  <a:schemeClr val="tx1">
                    <a:lumMod val="95000"/>
                    <a:lumOff val="5000"/>
                  </a:schemeClr>
                </a:solidFill>
                <a:latin typeface="+mn-lt"/>
                <a:ea typeface="+mn-ea"/>
                <a:cs typeface="+mn-cs"/>
              </a:rPr>
              <a:t>Best Time to Post (by Reach)</a:t>
            </a: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PT_Chart!$K$5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PT_Chart!$J$6:$J$23</c:f>
              <c:strCache>
                <c:ptCount val="18"/>
                <c:pt idx="0">
                  <c:v>8 PM</c:v>
                </c:pt>
                <c:pt idx="1">
                  <c:v>2 PM</c:v>
                </c:pt>
                <c:pt idx="2">
                  <c:v>10 PM</c:v>
                </c:pt>
                <c:pt idx="3">
                  <c:v>10 AM</c:v>
                </c:pt>
                <c:pt idx="4">
                  <c:v>6 PM</c:v>
                </c:pt>
                <c:pt idx="5">
                  <c:v>9 PM</c:v>
                </c:pt>
                <c:pt idx="6">
                  <c:v>6 AM</c:v>
                </c:pt>
                <c:pt idx="7">
                  <c:v>11 AM</c:v>
                </c:pt>
                <c:pt idx="8">
                  <c:v>3 PM</c:v>
                </c:pt>
                <c:pt idx="9">
                  <c:v>7 AM</c:v>
                </c:pt>
                <c:pt idx="10">
                  <c:v>5 PM</c:v>
                </c:pt>
                <c:pt idx="11">
                  <c:v>7 PM</c:v>
                </c:pt>
                <c:pt idx="12">
                  <c:v>8 AM</c:v>
                </c:pt>
                <c:pt idx="13">
                  <c:v>12 PM</c:v>
                </c:pt>
                <c:pt idx="14">
                  <c:v>1 PM</c:v>
                </c:pt>
                <c:pt idx="15">
                  <c:v>11 PM</c:v>
                </c:pt>
                <c:pt idx="16">
                  <c:v>4 PM</c:v>
                </c:pt>
                <c:pt idx="17">
                  <c:v>9 AM</c:v>
                </c:pt>
              </c:strCache>
            </c:strRef>
          </c:cat>
          <c:val>
            <c:numRef>
              <c:f>PT_Chart!$K$6:$K$23</c:f>
              <c:numCache>
                <c:formatCode>0</c:formatCode>
                <c:ptCount val="18"/>
                <c:pt idx="0">
                  <c:v>77459.25</c:v>
                </c:pt>
                <c:pt idx="1">
                  <c:v>76775.958333333328</c:v>
                </c:pt>
                <c:pt idx="2">
                  <c:v>69249.862068965522</c:v>
                </c:pt>
                <c:pt idx="3">
                  <c:v>68828.741935483864</c:v>
                </c:pt>
                <c:pt idx="4">
                  <c:v>67515.7</c:v>
                </c:pt>
                <c:pt idx="5">
                  <c:v>64676.142857142855</c:v>
                </c:pt>
                <c:pt idx="6">
                  <c:v>60692.892857142855</c:v>
                </c:pt>
                <c:pt idx="7">
                  <c:v>59271.416666666664</c:v>
                </c:pt>
                <c:pt idx="8">
                  <c:v>58097.599999999999</c:v>
                </c:pt>
                <c:pt idx="9">
                  <c:v>56886.741935483871</c:v>
                </c:pt>
                <c:pt idx="10">
                  <c:v>56876.681818181816</c:v>
                </c:pt>
                <c:pt idx="11">
                  <c:v>51560.862068965514</c:v>
                </c:pt>
                <c:pt idx="12">
                  <c:v>50572.238095238092</c:v>
                </c:pt>
                <c:pt idx="13">
                  <c:v>50149.76666666667</c:v>
                </c:pt>
                <c:pt idx="14">
                  <c:v>50070.676470588238</c:v>
                </c:pt>
                <c:pt idx="15">
                  <c:v>49067.923076923078</c:v>
                </c:pt>
                <c:pt idx="16">
                  <c:v>46966</c:v>
                </c:pt>
                <c:pt idx="17">
                  <c:v>33214.296296296299</c:v>
                </c:pt>
              </c:numCache>
            </c:numRef>
          </c:val>
          <c:extLst>
            <c:ext xmlns:c16="http://schemas.microsoft.com/office/drawing/2014/chart" uri="{C3380CC4-5D6E-409C-BE32-E72D297353CC}">
              <c16:uniqueId val="{00000000-0A7B-4B84-9CCA-2E14589C81A3}"/>
            </c:ext>
          </c:extLst>
        </c:ser>
        <c:dLbls>
          <c:showLegendKey val="0"/>
          <c:showVal val="0"/>
          <c:showCatName val="0"/>
          <c:showSerName val="0"/>
          <c:showPercent val="0"/>
          <c:showBubbleSize val="0"/>
        </c:dLbls>
        <c:gapWidth val="115"/>
        <c:overlap val="-20"/>
        <c:axId val="1412535360"/>
        <c:axId val="1412536800"/>
      </c:barChart>
      <c:catAx>
        <c:axId val="1412535360"/>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Posting Time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536800"/>
        <c:crosses val="autoZero"/>
        <c:auto val="1"/>
        <c:lblAlgn val="ctr"/>
        <c:lblOffset val="100"/>
        <c:noMultiLvlLbl val="0"/>
      </c:catAx>
      <c:valAx>
        <c:axId val="14125368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Average Reach</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535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[Instagram_Analytics.xlsx]PT_Chart!PivotTable8</c:name>
    <c:fmtId val="3"/>
  </c:pivotSource>
  <c:chart>
    <c:title>
      <c:tx>
        <c:rich>
          <a:bodyPr rot="0" spcFirstLastPara="1" vertOverflow="ellipsis" vert="horz" wrap="square" anchor="ctr" anchorCtr="1"/>
          <a:lstStyle/>
          <a:p>
            <a:pPr algn="ctr" rtl="0">
              <a:defRPr lang="en-US" sz="1200" b="0" i="0" u="none" strike="noStrike" kern="1200" spc="0" baseline="0">
                <a:solidFill>
                  <a:schemeClr val="tx1">
                    <a:lumMod val="95000"/>
                    <a:lumOff val="5000"/>
                  </a:schemeClr>
                </a:solidFill>
                <a:latin typeface="+mn-lt"/>
                <a:ea typeface="+mn-ea"/>
                <a:cs typeface="+mn-cs"/>
              </a:defRPr>
            </a:pPr>
            <a:r>
              <a:rPr lang="en-US" sz="1200" b="0" i="0" u="none" strike="noStrike" kern="1200" spc="0" baseline="0">
                <a:solidFill>
                  <a:schemeClr val="tx1">
                    <a:lumMod val="95000"/>
                    <a:lumOff val="5000"/>
                  </a:schemeClr>
                </a:solidFill>
                <a:latin typeface="+mn-lt"/>
                <a:ea typeface="+mn-ea"/>
                <a:cs typeface="+mn-cs"/>
              </a:rPr>
              <a:t>Monthly Follower Gain</a:t>
            </a: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ndard"/>
        <c:varyColors val="0"/>
        <c:ser>
          <c:idx val="0"/>
          <c:order val="0"/>
          <c:tx>
            <c:strRef>
              <c:f>PT_Chart!$B$33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PT_Chart!$A$34:$A$45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PT_Chart!$B$34:$B$45</c:f>
              <c:numCache>
                <c:formatCode>General</c:formatCode>
                <c:ptCount val="12"/>
                <c:pt idx="0">
                  <c:v>10102</c:v>
                </c:pt>
                <c:pt idx="1">
                  <c:v>8164</c:v>
                </c:pt>
                <c:pt idx="2">
                  <c:v>6484</c:v>
                </c:pt>
                <c:pt idx="3">
                  <c:v>8377</c:v>
                </c:pt>
                <c:pt idx="4">
                  <c:v>6767</c:v>
                </c:pt>
                <c:pt idx="5">
                  <c:v>13431</c:v>
                </c:pt>
                <c:pt idx="6">
                  <c:v>8571</c:v>
                </c:pt>
                <c:pt idx="7">
                  <c:v>7911</c:v>
                </c:pt>
                <c:pt idx="8">
                  <c:v>5750</c:v>
                </c:pt>
                <c:pt idx="9">
                  <c:v>9757</c:v>
                </c:pt>
                <c:pt idx="10">
                  <c:v>5173</c:v>
                </c:pt>
                <c:pt idx="11">
                  <c:v>12447</c:v>
                </c:pt>
              </c:numCache>
            </c:numRef>
          </c:val>
          <c:smooth val="0"/>
          <c:extLst>
            <c:ext xmlns:c16="http://schemas.microsoft.com/office/drawing/2014/chart" uri="{C3380CC4-5D6E-409C-BE32-E72D297353CC}">
              <c16:uniqueId val="{00000002-72ED-40DB-85F6-A8DF308607DA}"/>
            </c:ext>
          </c:extLst>
        </c:ser>
        <c:dLbls>
          <c:dLblPos val="t"/>
          <c:showLegendKey val="0"/>
          <c:showVal val="1"/>
          <c:showCatName val="0"/>
          <c:showSerName val="0"/>
          <c:showPercent val="0"/>
          <c:showBubbleSize val="0"/>
        </c:dLbls>
        <c:marker val="1"/>
        <c:smooth val="0"/>
        <c:axId val="1121746928"/>
        <c:axId val="1121749808"/>
      </c:lineChart>
      <c:catAx>
        <c:axId val="112174692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749808"/>
        <c:crosses val="autoZero"/>
        <c:auto val="1"/>
        <c:lblAlgn val="ctr"/>
        <c:lblOffset val="100"/>
        <c:noMultiLvlLbl val="0"/>
      </c:catAx>
      <c:valAx>
        <c:axId val="1121749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Followers Gained</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74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[Instagram_Analytics.xlsx]PT_Chart!PivotTable1</c:name>
    <c:fmtId val="12"/>
  </c:pivotSource>
  <c:chart>
    <c:title>
      <c:tx>
        <c:rich>
          <a:bodyPr rot="0" spcFirstLastPara="1" vertOverflow="ellipsis" vert="horz" wrap="square" anchor="ctr" anchorCtr="1"/>
          <a:lstStyle/>
          <a:p>
            <a:pPr algn="ctr" rtl="0">
              <a:defRPr lang="en-US" sz="1200" b="0" i="0" u="none" strike="noStrike" kern="1200" spc="0" baseline="0">
                <a:solidFill>
                  <a:schemeClr val="tx1">
                    <a:lumMod val="95000"/>
                    <a:lumOff val="5000"/>
                  </a:schemeClr>
                </a:solidFill>
                <a:latin typeface="+mn-lt"/>
                <a:ea typeface="+mn-ea"/>
                <a:cs typeface="+mn-cs"/>
              </a:defRPr>
            </a:pPr>
            <a:r>
              <a:rPr lang="en-US" sz="1200" b="0" i="0" u="none" strike="noStrike" kern="1200" spc="0" baseline="0">
                <a:solidFill>
                  <a:schemeClr val="tx1">
                    <a:lumMod val="95000"/>
                    <a:lumOff val="5000"/>
                  </a:schemeClr>
                </a:solidFill>
                <a:latin typeface="+mn-lt"/>
                <a:ea typeface="+mn-ea"/>
                <a:cs typeface="+mn-cs"/>
              </a:rPr>
              <a:t>Engagement Drivers</a:t>
            </a: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PT_Chart!$B$55</c:f>
              <c:strCache>
                <c:ptCount val="1"/>
                <c:pt idx="0">
                  <c:v>Average of likes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PT_Chart!$A$56:$A$58</c:f>
              <c:strCache>
                <c:ptCount val="3"/>
                <c:pt idx="0">
                  <c:v>Carousel</c:v>
                </c:pt>
                <c:pt idx="1">
                  <c:v>Image</c:v>
                </c:pt>
                <c:pt idx="2">
                  <c:v>Reel</c:v>
                </c:pt>
              </c:strCache>
            </c:strRef>
          </c:cat>
          <c:val>
            <c:numRef>
              <c:f>PT_Chart!$B$56:$B$58</c:f>
              <c:numCache>
                <c:formatCode>0</c:formatCode>
                <c:ptCount val="3"/>
                <c:pt idx="0">
                  <c:v>18890.525000000001</c:v>
                </c:pt>
                <c:pt idx="1">
                  <c:v>19135.031645569619</c:v>
                </c:pt>
                <c:pt idx="2">
                  <c:v>19573.945054945056</c:v>
                </c:pt>
              </c:numCache>
            </c:numRef>
          </c:val>
          <c:extLst>
            <c:ext xmlns:c16="http://schemas.microsoft.com/office/drawing/2014/chart" uri="{C3380CC4-5D6E-409C-BE32-E72D297353CC}">
              <c16:uniqueId val="{00000000-BC46-49A7-8AF3-F43B194D36D9}"/>
            </c:ext>
          </c:extLst>
        </c:ser>
        <c:ser>
          <c:idx val="1"/>
          <c:order val="1"/>
          <c:tx>
            <c:strRef>
              <c:f>PT_Chart!$C$55</c:f>
              <c:strCache>
                <c:ptCount val="1"/>
                <c:pt idx="0">
                  <c:v>Average of shares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PT_Chart!$A$56:$A$58</c:f>
              <c:strCache>
                <c:ptCount val="3"/>
                <c:pt idx="0">
                  <c:v>Carousel</c:v>
                </c:pt>
                <c:pt idx="1">
                  <c:v>Image</c:v>
                </c:pt>
                <c:pt idx="2">
                  <c:v>Reel</c:v>
                </c:pt>
              </c:strCache>
            </c:strRef>
          </c:cat>
          <c:val>
            <c:numRef>
              <c:f>PT_Chart!$C$56:$C$58</c:f>
              <c:numCache>
                <c:formatCode>0</c:formatCode>
                <c:ptCount val="3"/>
                <c:pt idx="0">
                  <c:v>2878.9749999999999</c:v>
                </c:pt>
                <c:pt idx="1">
                  <c:v>2662.2278481012659</c:v>
                </c:pt>
                <c:pt idx="2">
                  <c:v>3133.8791208791208</c:v>
                </c:pt>
              </c:numCache>
            </c:numRef>
          </c:val>
          <c:extLst>
            <c:ext xmlns:c16="http://schemas.microsoft.com/office/drawing/2014/chart" uri="{C3380CC4-5D6E-409C-BE32-E72D297353CC}">
              <c16:uniqueId val="{00000001-BC46-49A7-8AF3-F43B194D36D9}"/>
            </c:ext>
          </c:extLst>
        </c:ser>
        <c:ser>
          <c:idx val="2"/>
          <c:order val="2"/>
          <c:tx>
            <c:strRef>
              <c:f>PT_Chart!$D$55</c:f>
              <c:strCache>
                <c:ptCount val="1"/>
                <c:pt idx="0">
                  <c:v>Average of comments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PT_Chart!$A$56:$A$58</c:f>
              <c:strCache>
                <c:ptCount val="3"/>
                <c:pt idx="0">
                  <c:v>Carousel</c:v>
                </c:pt>
                <c:pt idx="1">
                  <c:v>Image</c:v>
                </c:pt>
                <c:pt idx="2">
                  <c:v>Reel</c:v>
                </c:pt>
              </c:strCache>
            </c:strRef>
          </c:cat>
          <c:val>
            <c:numRef>
              <c:f>PT_Chart!$D$56:$D$58</c:f>
              <c:numCache>
                <c:formatCode>0</c:formatCode>
                <c:ptCount val="3"/>
                <c:pt idx="0">
                  <c:v>2051.59375</c:v>
                </c:pt>
                <c:pt idx="1">
                  <c:v>2065.6518987341774</c:v>
                </c:pt>
                <c:pt idx="2">
                  <c:v>1925.1593406593406</c:v>
                </c:pt>
              </c:numCache>
            </c:numRef>
          </c:val>
          <c:extLst>
            <c:ext xmlns:c16="http://schemas.microsoft.com/office/drawing/2014/chart" uri="{C3380CC4-5D6E-409C-BE32-E72D297353CC}">
              <c16:uniqueId val="{00000002-BC46-49A7-8AF3-F43B194D36D9}"/>
            </c:ext>
          </c:extLst>
        </c:ser>
        <c:dLbls>
          <c:showLegendKey val="0"/>
          <c:showVal val="0"/>
          <c:showCatName val="0"/>
          <c:showSerName val="0"/>
          <c:showPercent val="0"/>
          <c:showBubbleSize val="0"/>
        </c:dLbls>
        <c:gapWidth val="219"/>
        <c:axId val="1043176047"/>
        <c:axId val="1043179887"/>
      </c:barChart>
      <c:catAx>
        <c:axId val="10431760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179887"/>
        <c:crosses val="autoZero"/>
        <c:auto val="1"/>
        <c:lblAlgn val="ctr"/>
        <c:lblOffset val="100"/>
        <c:noMultiLvlLbl val="0"/>
      </c:catAx>
      <c:valAx>
        <c:axId val="1043179887"/>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17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[Instagram_Analytics.xlsx]PT_Chart!PivotTable2</c:name>
    <c:fmtId val="5"/>
  </c:pivotSource>
  <c:chart>
    <c:title>
      <c:tx>
        <c:rich>
          <a:bodyPr rot="0" spcFirstLastPara="1" vertOverflow="ellipsis" vert="horz" wrap="square" anchor="ctr" anchorCtr="1"/>
          <a:lstStyle/>
          <a:p>
            <a:pPr algn="ctr" rtl="0">
              <a:defRPr lang="en-US" sz="1200" b="0" i="0" u="none" strike="noStrike" kern="1200" spc="0" baseline="0">
                <a:solidFill>
                  <a:schemeClr val="tx1">
                    <a:lumMod val="95000"/>
                    <a:lumOff val="5000"/>
                  </a:schemeClr>
                </a:solidFill>
                <a:latin typeface="+mn-lt"/>
                <a:ea typeface="+mn-ea"/>
                <a:cs typeface="+mn-cs"/>
              </a:defRPr>
            </a:pPr>
            <a:r>
              <a:rPr lang="en-US" sz="1200" b="0" i="0" u="none" strike="noStrike" kern="1200" spc="0" baseline="0">
                <a:solidFill>
                  <a:schemeClr val="tx1">
                    <a:lumMod val="95000"/>
                    <a:lumOff val="5000"/>
                  </a:schemeClr>
                </a:solidFill>
                <a:latin typeface="+mn-lt"/>
                <a:ea typeface="+mn-ea"/>
                <a:cs typeface="+mn-cs"/>
              </a:rPr>
              <a:t>Profile Visits vs New Followers</a:t>
            </a: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PT_Chart!$G$55</c:f>
              <c:strCache>
                <c:ptCount val="1"/>
                <c:pt idx="0">
                  <c:v>Average of profile_visits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PT_Chart!$F$56:$F$58</c:f>
              <c:strCache>
                <c:ptCount val="3"/>
                <c:pt idx="0">
                  <c:v>Carousel</c:v>
                </c:pt>
                <c:pt idx="1">
                  <c:v>Image</c:v>
                </c:pt>
                <c:pt idx="2">
                  <c:v>Reel</c:v>
                </c:pt>
              </c:strCache>
            </c:strRef>
          </c:cat>
          <c:val>
            <c:numRef>
              <c:f>PT_Chart!$G$56:$G$58</c:f>
              <c:numCache>
                <c:formatCode>0</c:formatCode>
                <c:ptCount val="3"/>
                <c:pt idx="0">
                  <c:v>6565.8187500000004</c:v>
                </c:pt>
                <c:pt idx="1">
                  <c:v>7375.5316455696202</c:v>
                </c:pt>
                <c:pt idx="2">
                  <c:v>7515.6703296703299</c:v>
                </c:pt>
              </c:numCache>
            </c:numRef>
          </c:val>
          <c:extLst>
            <c:ext xmlns:c16="http://schemas.microsoft.com/office/drawing/2014/chart" uri="{C3380CC4-5D6E-409C-BE32-E72D297353CC}">
              <c16:uniqueId val="{00000000-3E9F-4D7F-9AFF-7469C7A27A0B}"/>
            </c:ext>
          </c:extLst>
        </c:ser>
        <c:ser>
          <c:idx val="1"/>
          <c:order val="1"/>
          <c:tx>
            <c:strRef>
              <c:f>PT_Chart!$H$55</c:f>
              <c:strCache>
                <c:ptCount val="1"/>
                <c:pt idx="0">
                  <c:v>Average of follower_gain</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PT_Chart!$F$56:$F$58</c:f>
              <c:strCache>
                <c:ptCount val="3"/>
                <c:pt idx="0">
                  <c:v>Carousel</c:v>
                </c:pt>
                <c:pt idx="1">
                  <c:v>Image</c:v>
                </c:pt>
                <c:pt idx="2">
                  <c:v>Reel</c:v>
                </c:pt>
              </c:strCache>
            </c:strRef>
          </c:cat>
          <c:val>
            <c:numRef>
              <c:f>PT_Chart!$H$56:$H$58</c:f>
              <c:numCache>
                <c:formatCode>0</c:formatCode>
                <c:ptCount val="3"/>
                <c:pt idx="0">
                  <c:v>179.0625</c:v>
                </c:pt>
                <c:pt idx="1">
                  <c:v>213.36075949367088</c:v>
                </c:pt>
                <c:pt idx="2">
                  <c:v>222.92857142857142</c:v>
                </c:pt>
              </c:numCache>
            </c:numRef>
          </c:val>
          <c:extLst>
            <c:ext xmlns:c16="http://schemas.microsoft.com/office/drawing/2014/chart" uri="{C3380CC4-5D6E-409C-BE32-E72D297353CC}">
              <c16:uniqueId val="{00000001-3E9F-4D7F-9AFF-7469C7A27A0B}"/>
            </c:ext>
          </c:extLst>
        </c:ser>
        <c:dLbls>
          <c:showLegendKey val="0"/>
          <c:showVal val="0"/>
          <c:showCatName val="0"/>
          <c:showSerName val="0"/>
          <c:showPercent val="0"/>
          <c:showBubbleSize val="0"/>
        </c:dLbls>
        <c:gapWidth val="219"/>
        <c:overlap val="-27"/>
        <c:axId val="1182410639"/>
        <c:axId val="1182420719"/>
      </c:barChart>
      <c:catAx>
        <c:axId val="11824106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420719"/>
        <c:crosses val="autoZero"/>
        <c:auto val="1"/>
        <c:lblAlgn val="ctr"/>
        <c:lblOffset val="100"/>
        <c:noMultiLvlLbl val="0"/>
      </c:catAx>
      <c:valAx>
        <c:axId val="1182420719"/>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410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[Instagram_Analytics.xlsx]PT_Chart!PivotTable4</c:name>
    <c:fmtId val="5"/>
  </c:pivotSource>
  <c:chart>
    <c:title>
      <c:tx>
        <c:rich>
          <a:bodyPr rot="0" spcFirstLastPara="1" vertOverflow="ellipsis" vert="horz" wrap="square" anchor="ctr" anchorCtr="1"/>
          <a:lstStyle/>
          <a:p>
            <a:pPr algn="ctr" rtl="0">
              <a:defRPr lang="en-US" sz="1200" b="0" i="0" u="none" strike="noStrike" kern="1200" spc="0" baseline="0">
                <a:solidFill>
                  <a:schemeClr val="tx1">
                    <a:lumMod val="95000"/>
                    <a:lumOff val="5000"/>
                  </a:schemeClr>
                </a:solidFill>
                <a:latin typeface="+mn-lt"/>
                <a:ea typeface="+mn-ea"/>
                <a:cs typeface="+mn-cs"/>
              </a:defRPr>
            </a:pPr>
            <a:r>
              <a:rPr lang="en-US" sz="1200" b="0" i="0" u="none" strike="noStrike" kern="1200" spc="0" baseline="0">
                <a:solidFill>
                  <a:schemeClr val="tx1">
                    <a:lumMod val="95000"/>
                    <a:lumOff val="5000"/>
                  </a:schemeClr>
                </a:solidFill>
                <a:latin typeface="+mn-lt"/>
                <a:ea typeface="+mn-ea"/>
                <a:cs typeface="+mn-cs"/>
              </a:rPr>
              <a:t>Reach by Content Type</a:t>
            </a: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6310978369083173"/>
          <c:y val="0.21949085632588608"/>
          <c:w val="0.42469745161165201"/>
          <c:h val="0.70092343639971832"/>
        </c:manualLayout>
      </c:layout>
      <c:doughnutChart>
        <c:varyColors val="1"/>
        <c:ser>
          <c:idx val="0"/>
          <c:order val="0"/>
          <c:tx>
            <c:strRef>
              <c:f>PT_Chart!$K$55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0E1-470C-A472-114DC239145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0E1-470C-A472-114DC239145B}"/>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0E1-470C-A472-114DC239145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PT_Chart!$J$56:$J$58</c:f>
              <c:strCache>
                <c:ptCount val="3"/>
                <c:pt idx="0">
                  <c:v>Carousel</c:v>
                </c:pt>
                <c:pt idx="1">
                  <c:v>Image</c:v>
                </c:pt>
                <c:pt idx="2">
                  <c:v>Reel</c:v>
                </c:pt>
              </c:strCache>
            </c:strRef>
          </c:cat>
          <c:val>
            <c:numRef>
              <c:f>PT_Chart!$K$56:$K$58</c:f>
              <c:numCache>
                <c:formatCode>0</c:formatCode>
                <c:ptCount val="3"/>
                <c:pt idx="0">
                  <c:v>54891.46875</c:v>
                </c:pt>
                <c:pt idx="1">
                  <c:v>60162.518987341769</c:v>
                </c:pt>
                <c:pt idx="2">
                  <c:v>58840.302197802201</c:v>
                </c:pt>
              </c:numCache>
            </c:numRef>
          </c:val>
          <c:extLst>
            <c:ext xmlns:c16="http://schemas.microsoft.com/office/drawing/2014/chart" uri="{C3380CC4-5D6E-409C-BE32-E72D297353CC}">
              <c16:uniqueId val="{00000006-73E7-4287-A2EF-4882F59EC39E}"/>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45720</xdr:colOff>
      <xdr:row>10</xdr:row>
      <xdr:rowOff>15240</xdr:rowOff>
    </xdr:from>
    <xdr:to>
      <xdr:col>5</xdr:col>
      <xdr:colOff>502920</xdr:colOff>
      <xdr:row>25</xdr:row>
      <xdr:rowOff>15240</xdr:rowOff>
    </xdr:to>
    <xdr:graphicFrame macro="">
      <xdr:nvGraphicFramePr>
        <xdr:cNvPr id="2" name="Chart 1">
          <a:extLst>
            <a:ext uri="{FF2B5EF4-FFF2-40B4-BE49-F238E27FC236}">
              <a16:creationId xmlns:a16="http://schemas.microsoft.com/office/drawing/2014/main" id="{323EF838-9843-D62E-EC4C-DBAA9E0989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152400</xdr:colOff>
      <xdr:row>3</xdr:row>
      <xdr:rowOff>167640</xdr:rowOff>
    </xdr:from>
    <xdr:to>
      <xdr:col>19</xdr:col>
      <xdr:colOff>198120</xdr:colOff>
      <xdr:row>18</xdr:row>
      <xdr:rowOff>167640</xdr:rowOff>
    </xdr:to>
    <xdr:graphicFrame macro="">
      <xdr:nvGraphicFramePr>
        <xdr:cNvPr id="3" name="Chart 2">
          <a:extLst>
            <a:ext uri="{FF2B5EF4-FFF2-40B4-BE49-F238E27FC236}">
              <a16:creationId xmlns:a16="http://schemas.microsoft.com/office/drawing/2014/main" id="{E7749F55-A0BE-855A-F239-B806A2F0A7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121920</xdr:colOff>
      <xdr:row>30</xdr:row>
      <xdr:rowOff>137160</xdr:rowOff>
    </xdr:from>
    <xdr:to>
      <xdr:col>13</xdr:col>
      <xdr:colOff>213360</xdr:colOff>
      <xdr:row>45</xdr:row>
      <xdr:rowOff>137160</xdr:rowOff>
    </xdr:to>
    <xdr:graphicFrame macro="">
      <xdr:nvGraphicFramePr>
        <xdr:cNvPr id="4" name="Chart 3">
          <a:extLst>
            <a:ext uri="{FF2B5EF4-FFF2-40B4-BE49-F238E27FC236}">
              <a16:creationId xmlns:a16="http://schemas.microsoft.com/office/drawing/2014/main" id="{4B234AFB-5918-2965-D560-E4C6010FEB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59</xdr:row>
      <xdr:rowOff>30480</xdr:rowOff>
    </xdr:from>
    <xdr:to>
      <xdr:col>3</xdr:col>
      <xdr:colOff>1074420</xdr:colOff>
      <xdr:row>74</xdr:row>
      <xdr:rowOff>7620</xdr:rowOff>
    </xdr:to>
    <xdr:graphicFrame macro="">
      <xdr:nvGraphicFramePr>
        <xdr:cNvPr id="5" name="Chart 4">
          <a:extLst>
            <a:ext uri="{FF2B5EF4-FFF2-40B4-BE49-F238E27FC236}">
              <a16:creationId xmlns:a16="http://schemas.microsoft.com/office/drawing/2014/main" id="{4A611BA2-FD95-9447-4F35-D93C99D5D6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99060</xdr:colOff>
      <xdr:row>59</xdr:row>
      <xdr:rowOff>38100</xdr:rowOff>
    </xdr:from>
    <xdr:to>
      <xdr:col>7</xdr:col>
      <xdr:colOff>1447800</xdr:colOff>
      <xdr:row>74</xdr:row>
      <xdr:rowOff>0</xdr:rowOff>
    </xdr:to>
    <xdr:graphicFrame macro="">
      <xdr:nvGraphicFramePr>
        <xdr:cNvPr id="6" name="Chart 5">
          <a:extLst>
            <a:ext uri="{FF2B5EF4-FFF2-40B4-BE49-F238E27FC236}">
              <a16:creationId xmlns:a16="http://schemas.microsoft.com/office/drawing/2014/main" id="{3E796FD1-047D-400A-EE5C-541F1C394D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45720</xdr:colOff>
      <xdr:row>59</xdr:row>
      <xdr:rowOff>22860</xdr:rowOff>
    </xdr:from>
    <xdr:to>
      <xdr:col>11</xdr:col>
      <xdr:colOff>304800</xdr:colOff>
      <xdr:row>74</xdr:row>
      <xdr:rowOff>15240</xdr:rowOff>
    </xdr:to>
    <xdr:graphicFrame macro="">
      <xdr:nvGraphicFramePr>
        <xdr:cNvPr id="7" name="Chart 6">
          <a:extLst>
            <a:ext uri="{FF2B5EF4-FFF2-40B4-BE49-F238E27FC236}">
              <a16:creationId xmlns:a16="http://schemas.microsoft.com/office/drawing/2014/main" id="{A2ED4899-148B-5234-FA94-B412FEA718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160020</xdr:colOff>
      <xdr:row>3</xdr:row>
      <xdr:rowOff>30480</xdr:rowOff>
    </xdr:from>
    <xdr:to>
      <xdr:col>3</xdr:col>
      <xdr:colOff>182880</xdr:colOff>
      <xdr:row>11</xdr:row>
      <xdr:rowOff>15240</xdr:rowOff>
    </xdr:to>
    <xdr:sp macro="" textlink="">
      <xdr:nvSpPr>
        <xdr:cNvPr id="32" name="Rectangle: Rounded Corners 31">
          <a:extLst>
            <a:ext uri="{FF2B5EF4-FFF2-40B4-BE49-F238E27FC236}">
              <a16:creationId xmlns:a16="http://schemas.microsoft.com/office/drawing/2014/main" id="{80FCAB5F-9A61-8756-71D2-CBD414DD3589}"/>
            </a:ext>
          </a:extLst>
        </xdr:cNvPr>
        <xdr:cNvSpPr/>
      </xdr:nvSpPr>
      <xdr:spPr>
        <a:xfrm>
          <a:off x="160020" y="579120"/>
          <a:ext cx="1851660" cy="1447800"/>
        </a:xfrm>
        <a:prstGeom prst="roundRect">
          <a:avLst/>
        </a:prstGeom>
        <a:ln>
          <a:solidFill>
            <a:schemeClr val="accent4">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297181</xdr:colOff>
      <xdr:row>3</xdr:row>
      <xdr:rowOff>152400</xdr:rowOff>
    </xdr:from>
    <xdr:to>
      <xdr:col>3</xdr:col>
      <xdr:colOff>38100</xdr:colOff>
      <xdr:row>10</xdr:row>
      <xdr:rowOff>38100</xdr:rowOff>
    </xdr:to>
    <mc:AlternateContent xmlns:mc="http://schemas.openxmlformats.org/markup-compatibility/2006" xmlns:a14="http://schemas.microsoft.com/office/drawing/2010/main">
      <mc:Choice Requires="a14">
        <xdr:graphicFrame macro="">
          <xdr:nvGraphicFramePr>
            <xdr:cNvPr id="10" name="post_type">
              <a:extLst>
                <a:ext uri="{FF2B5EF4-FFF2-40B4-BE49-F238E27FC236}">
                  <a16:creationId xmlns:a16="http://schemas.microsoft.com/office/drawing/2014/main" id="{83CC530F-7F35-4E9B-8CC3-586F882211DA}"/>
                </a:ext>
              </a:extLst>
            </xdr:cNvPr>
            <xdr:cNvGraphicFramePr/>
          </xdr:nvGraphicFramePr>
          <xdr:xfrm>
            <a:off x="0" y="0"/>
            <a:ext cx="0" cy="0"/>
          </xdr:xfrm>
          <a:graphic>
            <a:graphicData uri="http://schemas.microsoft.com/office/drawing/2010/slicer">
              <sle:slicer xmlns:sle="http://schemas.microsoft.com/office/drawing/2010/slicer" name="post_type"/>
            </a:graphicData>
          </a:graphic>
        </xdr:graphicFrame>
      </mc:Choice>
      <mc:Fallback xmlns="">
        <xdr:sp macro="" textlink="">
          <xdr:nvSpPr>
            <xdr:cNvPr id="0" name=""/>
            <xdr:cNvSpPr>
              <a:spLocks noTextEdit="1"/>
            </xdr:cNvSpPr>
          </xdr:nvSpPr>
          <xdr:spPr>
            <a:xfrm>
              <a:off x="297181" y="701040"/>
              <a:ext cx="1569719" cy="1165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297180</xdr:colOff>
      <xdr:row>7</xdr:row>
      <xdr:rowOff>144144</xdr:rowOff>
    </xdr:from>
    <xdr:to>
      <xdr:col>9</xdr:col>
      <xdr:colOff>594360</xdr:colOff>
      <xdr:row>18</xdr:row>
      <xdr:rowOff>68580</xdr:rowOff>
    </xdr:to>
    <xdr:sp macro="" textlink="">
      <xdr:nvSpPr>
        <xdr:cNvPr id="15" name="Rectangle: Rounded Corners 14">
          <a:extLst>
            <a:ext uri="{FF2B5EF4-FFF2-40B4-BE49-F238E27FC236}">
              <a16:creationId xmlns:a16="http://schemas.microsoft.com/office/drawing/2014/main" id="{7E5C8C4A-AA65-C36D-1F69-56C1C828D713}"/>
            </a:ext>
          </a:extLst>
        </xdr:cNvPr>
        <xdr:cNvSpPr/>
      </xdr:nvSpPr>
      <xdr:spPr>
        <a:xfrm>
          <a:off x="2125980" y="1424304"/>
          <a:ext cx="3954780" cy="1936116"/>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517832</xdr:colOff>
      <xdr:row>8</xdr:row>
      <xdr:rowOff>30480</xdr:rowOff>
    </xdr:from>
    <xdr:to>
      <xdr:col>9</xdr:col>
      <xdr:colOff>388849</xdr:colOff>
      <xdr:row>17</xdr:row>
      <xdr:rowOff>181752</xdr:rowOff>
    </xdr:to>
    <xdr:graphicFrame macro="">
      <xdr:nvGraphicFramePr>
        <xdr:cNvPr id="2" name="Chart 1">
          <a:extLst>
            <a:ext uri="{FF2B5EF4-FFF2-40B4-BE49-F238E27FC236}">
              <a16:creationId xmlns:a16="http://schemas.microsoft.com/office/drawing/2014/main" id="{4C10B1A9-886D-4241-9620-2EF157175B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68580</xdr:colOff>
      <xdr:row>7</xdr:row>
      <xdr:rowOff>137160</xdr:rowOff>
    </xdr:from>
    <xdr:to>
      <xdr:col>16</xdr:col>
      <xdr:colOff>251460</xdr:colOff>
      <xdr:row>18</xdr:row>
      <xdr:rowOff>68580</xdr:rowOff>
    </xdr:to>
    <xdr:sp macro="" textlink="">
      <xdr:nvSpPr>
        <xdr:cNvPr id="17" name="Rectangle: Rounded Corners 16">
          <a:extLst>
            <a:ext uri="{FF2B5EF4-FFF2-40B4-BE49-F238E27FC236}">
              <a16:creationId xmlns:a16="http://schemas.microsoft.com/office/drawing/2014/main" id="{3C9E821C-5497-4AB1-B370-12202D1CB7A7}"/>
            </a:ext>
          </a:extLst>
        </xdr:cNvPr>
        <xdr:cNvSpPr/>
      </xdr:nvSpPr>
      <xdr:spPr>
        <a:xfrm>
          <a:off x="6164580" y="1417320"/>
          <a:ext cx="3840480" cy="1943100"/>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241314</xdr:colOff>
      <xdr:row>8</xdr:row>
      <xdr:rowOff>11989</xdr:rowOff>
    </xdr:from>
    <xdr:to>
      <xdr:col>16</xdr:col>
      <xdr:colOff>65830</xdr:colOff>
      <xdr:row>17</xdr:row>
      <xdr:rowOff>154822</xdr:rowOff>
    </xdr:to>
    <xdr:graphicFrame macro="">
      <xdr:nvGraphicFramePr>
        <xdr:cNvPr id="8" name="Chart 7">
          <a:extLst>
            <a:ext uri="{FF2B5EF4-FFF2-40B4-BE49-F238E27FC236}">
              <a16:creationId xmlns:a16="http://schemas.microsoft.com/office/drawing/2014/main" id="{A5581408-AF37-4B25-AD56-803ED678D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327476</xdr:colOff>
      <xdr:row>7</xdr:row>
      <xdr:rowOff>106680</xdr:rowOff>
    </xdr:from>
    <xdr:to>
      <xdr:col>23</xdr:col>
      <xdr:colOff>30479</xdr:colOff>
      <xdr:row>18</xdr:row>
      <xdr:rowOff>60801</xdr:rowOff>
    </xdr:to>
    <xdr:sp macro="" textlink="">
      <xdr:nvSpPr>
        <xdr:cNvPr id="18" name="Rectangle: Rounded Corners 17">
          <a:extLst>
            <a:ext uri="{FF2B5EF4-FFF2-40B4-BE49-F238E27FC236}">
              <a16:creationId xmlns:a16="http://schemas.microsoft.com/office/drawing/2014/main" id="{D4C7CE9C-2F4D-43F7-835C-26E65EFC6EA4}"/>
            </a:ext>
          </a:extLst>
        </xdr:cNvPr>
        <xdr:cNvSpPr/>
      </xdr:nvSpPr>
      <xdr:spPr>
        <a:xfrm>
          <a:off x="10081076" y="1386840"/>
          <a:ext cx="3970203" cy="1965801"/>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517204</xdr:colOff>
      <xdr:row>7</xdr:row>
      <xdr:rowOff>178435</xdr:rowOff>
    </xdr:from>
    <xdr:to>
      <xdr:col>22</xdr:col>
      <xdr:colOff>445650</xdr:colOff>
      <xdr:row>17</xdr:row>
      <xdr:rowOff>122831</xdr:rowOff>
    </xdr:to>
    <xdr:graphicFrame macro="">
      <xdr:nvGraphicFramePr>
        <xdr:cNvPr id="9" name="Chart 8">
          <a:extLst>
            <a:ext uri="{FF2B5EF4-FFF2-40B4-BE49-F238E27FC236}">
              <a16:creationId xmlns:a16="http://schemas.microsoft.com/office/drawing/2014/main" id="{DC0DDBEA-1369-4D6F-BC44-F71D3881BC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289560</xdr:colOff>
      <xdr:row>18</xdr:row>
      <xdr:rowOff>157013</xdr:rowOff>
    </xdr:from>
    <xdr:to>
      <xdr:col>9</xdr:col>
      <xdr:colOff>563879</xdr:colOff>
      <xdr:row>29</xdr:row>
      <xdr:rowOff>115248</xdr:rowOff>
    </xdr:to>
    <xdr:sp macro="" textlink="">
      <xdr:nvSpPr>
        <xdr:cNvPr id="19" name="Rectangle: Rounded Corners 18">
          <a:extLst>
            <a:ext uri="{FF2B5EF4-FFF2-40B4-BE49-F238E27FC236}">
              <a16:creationId xmlns:a16="http://schemas.microsoft.com/office/drawing/2014/main" id="{DB27A944-D0FF-4B9E-9F66-E09026667098}"/>
            </a:ext>
          </a:extLst>
        </xdr:cNvPr>
        <xdr:cNvSpPr/>
      </xdr:nvSpPr>
      <xdr:spPr>
        <a:xfrm>
          <a:off x="2118360" y="3448853"/>
          <a:ext cx="3931919" cy="1969915"/>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496615</xdr:colOff>
      <xdr:row>19</xdr:row>
      <xdr:rowOff>42056</xdr:rowOff>
    </xdr:from>
    <xdr:to>
      <xdr:col>9</xdr:col>
      <xdr:colOff>398081</xdr:colOff>
      <xdr:row>29</xdr:row>
      <xdr:rowOff>25876</xdr:rowOff>
    </xdr:to>
    <xdr:graphicFrame macro="">
      <xdr:nvGraphicFramePr>
        <xdr:cNvPr id="12" name="Chart 11">
          <a:extLst>
            <a:ext uri="{FF2B5EF4-FFF2-40B4-BE49-F238E27FC236}">
              <a16:creationId xmlns:a16="http://schemas.microsoft.com/office/drawing/2014/main" id="{18FFC616-D732-4CF5-A6DC-6A030291D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38282</xdr:colOff>
      <xdr:row>18</xdr:row>
      <xdr:rowOff>157013</xdr:rowOff>
    </xdr:from>
    <xdr:to>
      <xdr:col>16</xdr:col>
      <xdr:colOff>236219</xdr:colOff>
      <xdr:row>29</xdr:row>
      <xdr:rowOff>115248</xdr:rowOff>
    </xdr:to>
    <xdr:sp macro="" textlink="">
      <xdr:nvSpPr>
        <xdr:cNvPr id="20" name="Rectangle: Rounded Corners 19">
          <a:extLst>
            <a:ext uri="{FF2B5EF4-FFF2-40B4-BE49-F238E27FC236}">
              <a16:creationId xmlns:a16="http://schemas.microsoft.com/office/drawing/2014/main" id="{DBCD5BC3-2700-43CC-A0F6-4F850A9CF4E7}"/>
            </a:ext>
          </a:extLst>
        </xdr:cNvPr>
        <xdr:cNvSpPr/>
      </xdr:nvSpPr>
      <xdr:spPr>
        <a:xfrm>
          <a:off x="6134282" y="3448853"/>
          <a:ext cx="3855537" cy="1969915"/>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269612</xdr:colOff>
      <xdr:row>19</xdr:row>
      <xdr:rowOff>25175</xdr:rowOff>
    </xdr:from>
    <xdr:to>
      <xdr:col>16</xdr:col>
      <xdr:colOff>5299</xdr:colOff>
      <xdr:row>29</xdr:row>
      <xdr:rowOff>82012</xdr:rowOff>
    </xdr:to>
    <xdr:graphicFrame macro="">
      <xdr:nvGraphicFramePr>
        <xdr:cNvPr id="13" name="Chart 12">
          <a:extLst>
            <a:ext uri="{FF2B5EF4-FFF2-40B4-BE49-F238E27FC236}">
              <a16:creationId xmlns:a16="http://schemas.microsoft.com/office/drawing/2014/main" id="{579B78B9-6AC5-48EE-914E-24A1E41F9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319949</xdr:colOff>
      <xdr:row>18</xdr:row>
      <xdr:rowOff>148893</xdr:rowOff>
    </xdr:from>
    <xdr:to>
      <xdr:col>23</xdr:col>
      <xdr:colOff>45720</xdr:colOff>
      <xdr:row>29</xdr:row>
      <xdr:rowOff>100166</xdr:rowOff>
    </xdr:to>
    <xdr:sp macro="" textlink="">
      <xdr:nvSpPr>
        <xdr:cNvPr id="21" name="Rectangle: Rounded Corners 20">
          <a:extLst>
            <a:ext uri="{FF2B5EF4-FFF2-40B4-BE49-F238E27FC236}">
              <a16:creationId xmlns:a16="http://schemas.microsoft.com/office/drawing/2014/main" id="{14FFBFBB-4787-45E5-A8E1-BCF3CFE98440}"/>
            </a:ext>
          </a:extLst>
        </xdr:cNvPr>
        <xdr:cNvSpPr/>
      </xdr:nvSpPr>
      <xdr:spPr>
        <a:xfrm>
          <a:off x="10073549" y="3440733"/>
          <a:ext cx="3992971" cy="1962953"/>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578087</xdr:colOff>
      <xdr:row>19</xdr:row>
      <xdr:rowOff>33575</xdr:rowOff>
    </xdr:from>
    <xdr:to>
      <xdr:col>22</xdr:col>
      <xdr:colOff>414336</xdr:colOff>
      <xdr:row>29</xdr:row>
      <xdr:rowOff>40844</xdr:rowOff>
    </xdr:to>
    <xdr:graphicFrame macro="">
      <xdr:nvGraphicFramePr>
        <xdr:cNvPr id="14" name="Chart 13">
          <a:extLst>
            <a:ext uri="{FF2B5EF4-FFF2-40B4-BE49-F238E27FC236}">
              <a16:creationId xmlns:a16="http://schemas.microsoft.com/office/drawing/2014/main" id="{8A8254BE-4A46-40E3-B5B3-ECB1B0415B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525780</xdr:colOff>
      <xdr:row>3</xdr:row>
      <xdr:rowOff>15240</xdr:rowOff>
    </xdr:from>
    <xdr:to>
      <xdr:col>15</xdr:col>
      <xdr:colOff>304800</xdr:colOff>
      <xdr:row>7</xdr:row>
      <xdr:rowOff>60960</xdr:rowOff>
    </xdr:to>
    <xdr:sp macro="" textlink="PT_KPIs!H8">
      <xdr:nvSpPr>
        <xdr:cNvPr id="27" name="Rectangle: Rounded Corners 26">
          <a:extLst>
            <a:ext uri="{FF2B5EF4-FFF2-40B4-BE49-F238E27FC236}">
              <a16:creationId xmlns:a16="http://schemas.microsoft.com/office/drawing/2014/main" id="{EE9A4B41-C3F4-2487-A94A-981D0B3E12DE}"/>
            </a:ext>
          </a:extLst>
        </xdr:cNvPr>
        <xdr:cNvSpPr/>
      </xdr:nvSpPr>
      <xdr:spPr>
        <a:xfrm>
          <a:off x="7840980" y="563880"/>
          <a:ext cx="1607820" cy="777240"/>
        </a:xfrm>
        <a:prstGeom prst="roundRect">
          <a:avLst/>
        </a:prstGeom>
        <a:solidFill>
          <a:srgbClr val="FFFFFF"/>
        </a:solidFill>
        <a:ln w="12700">
          <a:solidFill>
            <a:srgbClr val="E5E7E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0" i="0" u="none" strike="noStrike">
              <a:solidFill>
                <a:srgbClr val="000000"/>
              </a:solidFill>
              <a:latin typeface="+mn-lt"/>
              <a:ea typeface="Calibri"/>
              <a:cs typeface="Calibri"/>
            </a:rPr>
            <a:t>Avg Reach per Post</a:t>
          </a:r>
        </a:p>
        <a:p>
          <a:pPr marL="0" indent="0" algn="ctr"/>
          <a:fld id="{CD6E9A8E-060A-432D-BC3A-D4402E4F016B}" type="TxLink">
            <a:rPr lang="en-US" sz="2200" b="1" i="0" u="none" strike="noStrike">
              <a:solidFill>
                <a:srgbClr val="000000"/>
              </a:solidFill>
              <a:latin typeface="Calibri"/>
              <a:ea typeface="Calibri"/>
              <a:cs typeface="Calibri"/>
            </a:rPr>
            <a:t>58K</a:t>
          </a:fld>
          <a:endParaRPr lang="en-US" sz="2200" b="1" i="0" u="none" strike="noStrike">
            <a:solidFill>
              <a:srgbClr val="111827"/>
            </a:solidFill>
            <a:latin typeface="Segoe UI" panose="020B0502040204020203" pitchFamily="34" charset="0"/>
            <a:ea typeface="Calibri"/>
            <a:cs typeface="Segoe UI" panose="020B0502040204020203" pitchFamily="34" charset="0"/>
          </a:endParaRPr>
        </a:p>
      </xdr:txBody>
    </xdr:sp>
    <xdr:clientData/>
  </xdr:twoCellAnchor>
  <xdr:twoCellAnchor>
    <xdr:from>
      <xdr:col>3</xdr:col>
      <xdr:colOff>441960</xdr:colOff>
      <xdr:row>3</xdr:row>
      <xdr:rowOff>7620</xdr:rowOff>
    </xdr:from>
    <xdr:to>
      <xdr:col>6</xdr:col>
      <xdr:colOff>220980</xdr:colOff>
      <xdr:row>7</xdr:row>
      <xdr:rowOff>53340</xdr:rowOff>
    </xdr:to>
    <xdr:sp macro="" textlink="PT_KPIs!A8">
      <xdr:nvSpPr>
        <xdr:cNvPr id="28" name="Rectangle: Rounded Corners 27">
          <a:extLst>
            <a:ext uri="{FF2B5EF4-FFF2-40B4-BE49-F238E27FC236}">
              <a16:creationId xmlns:a16="http://schemas.microsoft.com/office/drawing/2014/main" id="{8613B659-21EE-B93B-FBDB-7447DB0D2CA3}"/>
            </a:ext>
          </a:extLst>
        </xdr:cNvPr>
        <xdr:cNvSpPr/>
      </xdr:nvSpPr>
      <xdr:spPr>
        <a:xfrm>
          <a:off x="2270760" y="556260"/>
          <a:ext cx="1607820" cy="777240"/>
        </a:xfrm>
        <a:prstGeom prst="roundRect">
          <a:avLst/>
        </a:prstGeom>
        <a:solidFill>
          <a:srgbClr val="FFFFFF"/>
        </a:solidFill>
        <a:ln w="12700">
          <a:solidFill>
            <a:srgbClr val="E5E7E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0" i="0" u="none" strike="noStrike">
              <a:solidFill>
                <a:srgbClr val="000000"/>
              </a:solidFill>
              <a:latin typeface="+mn-lt"/>
              <a:ea typeface="Calibri"/>
              <a:cs typeface="Calibri"/>
            </a:rPr>
            <a:t>Total Followers</a:t>
          </a:r>
          <a:endParaRPr lang="en-US" sz="2200" b="1" i="0" u="none" strike="noStrike">
            <a:solidFill>
              <a:srgbClr val="000000"/>
            </a:solidFill>
            <a:latin typeface="+mn-lt"/>
            <a:ea typeface="Calibri"/>
            <a:cs typeface="Calibri"/>
          </a:endParaRPr>
        </a:p>
        <a:p>
          <a:pPr marL="0" indent="0" algn="ctr"/>
          <a:fld id="{36705ED8-682A-4D1B-8283-9D3E07571C95}" type="TxLink">
            <a:rPr lang="en-US" sz="2200" b="1" i="0" u="none" strike="noStrike">
              <a:solidFill>
                <a:srgbClr val="000000"/>
              </a:solidFill>
              <a:latin typeface="Calibri"/>
              <a:ea typeface="Calibri"/>
              <a:cs typeface="Calibri"/>
            </a:rPr>
            <a:t>494K</a:t>
          </a:fld>
          <a:endParaRPr lang="en-US" sz="2200" b="1">
            <a:solidFill>
              <a:srgbClr val="111827"/>
            </a:solidFill>
            <a:latin typeface="Segoe UI" panose="020B0502040204020203" pitchFamily="34" charset="0"/>
            <a:ea typeface="+mn-ea"/>
            <a:cs typeface="Segoe UI" panose="020B0502040204020203" pitchFamily="34" charset="0"/>
          </a:endParaRPr>
        </a:p>
      </xdr:txBody>
    </xdr:sp>
    <xdr:clientData/>
  </xdr:twoCellAnchor>
  <xdr:twoCellAnchor>
    <xdr:from>
      <xdr:col>6</xdr:col>
      <xdr:colOff>472440</xdr:colOff>
      <xdr:row>3</xdr:row>
      <xdr:rowOff>15240</xdr:rowOff>
    </xdr:from>
    <xdr:to>
      <xdr:col>9</xdr:col>
      <xdr:colOff>251460</xdr:colOff>
      <xdr:row>7</xdr:row>
      <xdr:rowOff>60960</xdr:rowOff>
    </xdr:to>
    <xdr:sp macro="" textlink="PT_KPIs!C8">
      <xdr:nvSpPr>
        <xdr:cNvPr id="29" name="Rectangle: Rounded Corners 28">
          <a:extLst>
            <a:ext uri="{FF2B5EF4-FFF2-40B4-BE49-F238E27FC236}">
              <a16:creationId xmlns:a16="http://schemas.microsoft.com/office/drawing/2014/main" id="{FA0447B2-42C8-F6FD-B704-1D4FB5B2CB5E}"/>
            </a:ext>
          </a:extLst>
        </xdr:cNvPr>
        <xdr:cNvSpPr/>
      </xdr:nvSpPr>
      <xdr:spPr>
        <a:xfrm>
          <a:off x="4130040" y="563880"/>
          <a:ext cx="1607820" cy="777240"/>
        </a:xfrm>
        <a:prstGeom prst="roundRect">
          <a:avLst/>
        </a:prstGeom>
        <a:solidFill>
          <a:srgbClr val="FFFFFF"/>
        </a:solidFill>
        <a:ln w="12700">
          <a:solidFill>
            <a:srgbClr val="E5E7E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0" i="0" u="none" strike="noStrike">
              <a:solidFill>
                <a:srgbClr val="000000"/>
              </a:solidFill>
              <a:latin typeface="+mn-lt"/>
              <a:ea typeface="Calibri"/>
              <a:cs typeface="Calibri"/>
            </a:rPr>
            <a:t>Total New Followers</a:t>
          </a:r>
        </a:p>
        <a:p>
          <a:pPr marL="0" indent="0" algn="ctr"/>
          <a:fld id="{1BCC5429-D81E-4C29-977B-99416D0E2679}" type="TxLink">
            <a:rPr lang="en-US" sz="2200" b="1" i="0" u="none" strike="noStrike">
              <a:solidFill>
                <a:srgbClr val="000000"/>
              </a:solidFill>
              <a:latin typeface="Calibri"/>
              <a:ea typeface="Calibri"/>
              <a:cs typeface="Calibri"/>
            </a:rPr>
            <a:t>103K</a:t>
          </a:fld>
          <a:endParaRPr lang="en-US" sz="2200" b="1" i="0" u="none" strike="noStrike">
            <a:solidFill>
              <a:srgbClr val="111827"/>
            </a:solidFill>
            <a:latin typeface="Segoe UI" panose="020B0502040204020203" pitchFamily="34" charset="0"/>
            <a:ea typeface="Calibri"/>
            <a:cs typeface="Segoe UI" panose="020B0502040204020203" pitchFamily="34" charset="0"/>
          </a:endParaRPr>
        </a:p>
      </xdr:txBody>
    </xdr:sp>
    <xdr:clientData/>
  </xdr:twoCellAnchor>
  <xdr:twoCellAnchor>
    <xdr:from>
      <xdr:col>9</xdr:col>
      <xdr:colOff>495300</xdr:colOff>
      <xdr:row>3</xdr:row>
      <xdr:rowOff>15240</xdr:rowOff>
    </xdr:from>
    <xdr:to>
      <xdr:col>12</xdr:col>
      <xdr:colOff>274320</xdr:colOff>
      <xdr:row>7</xdr:row>
      <xdr:rowOff>60960</xdr:rowOff>
    </xdr:to>
    <xdr:sp macro="" textlink="PT_KPIs!F8">
      <xdr:nvSpPr>
        <xdr:cNvPr id="30" name="Rectangle: Rounded Corners 29">
          <a:extLst>
            <a:ext uri="{FF2B5EF4-FFF2-40B4-BE49-F238E27FC236}">
              <a16:creationId xmlns:a16="http://schemas.microsoft.com/office/drawing/2014/main" id="{582D9FDF-BE62-1D76-460D-899872E6E2A5}"/>
            </a:ext>
          </a:extLst>
        </xdr:cNvPr>
        <xdr:cNvSpPr/>
      </xdr:nvSpPr>
      <xdr:spPr>
        <a:xfrm>
          <a:off x="5981700" y="563880"/>
          <a:ext cx="1607820" cy="777240"/>
        </a:xfrm>
        <a:prstGeom prst="roundRect">
          <a:avLst/>
        </a:prstGeom>
        <a:solidFill>
          <a:srgbClr val="FFFFFF"/>
        </a:solidFill>
        <a:ln w="12700">
          <a:solidFill>
            <a:srgbClr val="E5E7E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0" i="0" u="none" strike="noStrike">
              <a:solidFill>
                <a:srgbClr val="000000"/>
              </a:solidFill>
              <a:latin typeface="+mn-lt"/>
              <a:ea typeface="Calibri"/>
              <a:cs typeface="Calibri"/>
            </a:rPr>
            <a:t>Avg Engagement %</a:t>
          </a:r>
        </a:p>
        <a:p>
          <a:pPr marL="0" indent="0" algn="ctr"/>
          <a:fld id="{AA80B198-801A-421A-8626-89D0523A77A0}" type="TxLink">
            <a:rPr lang="en-US" sz="2200" b="1" i="0" u="none" strike="noStrike">
              <a:solidFill>
                <a:srgbClr val="000000"/>
              </a:solidFill>
              <a:latin typeface="Calibri"/>
              <a:ea typeface="Calibri"/>
              <a:cs typeface="Calibri"/>
            </a:rPr>
            <a:t>9.6%</a:t>
          </a:fld>
          <a:endParaRPr lang="en-US" sz="2200" b="1" i="0" u="none" strike="noStrike">
            <a:solidFill>
              <a:srgbClr val="111827"/>
            </a:solidFill>
            <a:latin typeface="Segoe UI" panose="020B0502040204020203" pitchFamily="34" charset="0"/>
            <a:ea typeface="Calibri"/>
            <a:cs typeface="Segoe UI" panose="020B0502040204020203" pitchFamily="34" charset="0"/>
          </a:endParaRPr>
        </a:p>
      </xdr:txBody>
    </xdr:sp>
    <xdr:clientData/>
  </xdr:twoCellAnchor>
  <xdr:twoCellAnchor>
    <xdr:from>
      <xdr:col>15</xdr:col>
      <xdr:colOff>541020</xdr:colOff>
      <xdr:row>3</xdr:row>
      <xdr:rowOff>0</xdr:rowOff>
    </xdr:from>
    <xdr:to>
      <xdr:col>18</xdr:col>
      <xdr:colOff>320040</xdr:colOff>
      <xdr:row>7</xdr:row>
      <xdr:rowOff>45720</xdr:rowOff>
    </xdr:to>
    <xdr:sp macro="" textlink="PT_KPIs!J8">
      <xdr:nvSpPr>
        <xdr:cNvPr id="5" name="Rectangle: Rounded Corners 4">
          <a:extLst>
            <a:ext uri="{FF2B5EF4-FFF2-40B4-BE49-F238E27FC236}">
              <a16:creationId xmlns:a16="http://schemas.microsoft.com/office/drawing/2014/main" id="{4BA2A459-FCF7-4A3D-B140-ABD4CDAD0E63}"/>
            </a:ext>
          </a:extLst>
        </xdr:cNvPr>
        <xdr:cNvSpPr/>
      </xdr:nvSpPr>
      <xdr:spPr>
        <a:xfrm>
          <a:off x="9685020" y="548640"/>
          <a:ext cx="1607820" cy="777240"/>
        </a:xfrm>
        <a:prstGeom prst="roundRect">
          <a:avLst/>
        </a:prstGeom>
        <a:solidFill>
          <a:srgbClr val="FFFFFF"/>
        </a:solidFill>
        <a:ln w="12700">
          <a:solidFill>
            <a:srgbClr val="E5E7E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0" i="0" u="none" strike="noStrike">
              <a:solidFill>
                <a:srgbClr val="000000"/>
              </a:solidFill>
              <a:latin typeface="+mn-lt"/>
              <a:ea typeface="Calibri"/>
              <a:cs typeface="Calibri"/>
            </a:rPr>
            <a:t>Total Saves</a:t>
          </a:r>
        </a:p>
        <a:p>
          <a:pPr marL="0" indent="0" algn="ctr"/>
          <a:fld id="{4F9E5DA2-CC62-424D-AA5B-249965C0F46B}" type="TxLink">
            <a:rPr lang="en-US" sz="2200" b="1" i="0" u="none" strike="noStrike">
              <a:solidFill>
                <a:srgbClr val="000000"/>
              </a:solidFill>
              <a:latin typeface="Calibri"/>
              <a:ea typeface="Calibri"/>
              <a:cs typeface="Calibri"/>
            </a:rPr>
            <a:t>548K</a:t>
          </a:fld>
          <a:endParaRPr lang="en-US" sz="2200" b="1" i="0" u="none" strike="noStrike">
            <a:solidFill>
              <a:schemeClr val="tx1">
                <a:lumMod val="95000"/>
                <a:lumOff val="5000"/>
              </a:schemeClr>
            </a:solidFill>
            <a:latin typeface="Segoe UI" panose="020B0502040204020203" pitchFamily="34" charset="0"/>
            <a:ea typeface="Calibri"/>
            <a:cs typeface="Segoe UI" panose="020B0502040204020203" pitchFamily="34" charset="0"/>
          </a:endParaRPr>
        </a:p>
      </xdr:txBody>
    </xdr:sp>
    <xdr:clientData/>
  </xdr:twoCellAnchor>
  <xdr:twoCellAnchor>
    <xdr:from>
      <xdr:col>0</xdr:col>
      <xdr:colOff>114300</xdr:colOff>
      <xdr:row>11</xdr:row>
      <xdr:rowOff>76200</xdr:rowOff>
    </xdr:from>
    <xdr:to>
      <xdr:col>3</xdr:col>
      <xdr:colOff>175260</xdr:colOff>
      <xdr:row>23</xdr:row>
      <xdr:rowOff>60960</xdr:rowOff>
    </xdr:to>
    <xdr:sp macro="" textlink="">
      <xdr:nvSpPr>
        <xdr:cNvPr id="33" name="Rectangle: Rounded Corners 32">
          <a:extLst>
            <a:ext uri="{FF2B5EF4-FFF2-40B4-BE49-F238E27FC236}">
              <a16:creationId xmlns:a16="http://schemas.microsoft.com/office/drawing/2014/main" id="{F96BD8D7-036F-4C0E-951A-6B0A39B2C05C}"/>
            </a:ext>
          </a:extLst>
        </xdr:cNvPr>
        <xdr:cNvSpPr/>
      </xdr:nvSpPr>
      <xdr:spPr>
        <a:xfrm>
          <a:off x="114300" y="2087880"/>
          <a:ext cx="1889760" cy="2179320"/>
        </a:xfrm>
        <a:prstGeom prst="roundRect">
          <a:avLst/>
        </a:prstGeom>
        <a:ln>
          <a:solidFill>
            <a:schemeClr val="accent4">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234635</xdr:colOff>
      <xdr:row>12</xdr:row>
      <xdr:rowOff>106680</xdr:rowOff>
    </xdr:from>
    <xdr:to>
      <xdr:col>3</xdr:col>
      <xdr:colOff>83820</xdr:colOff>
      <xdr:row>22</xdr:row>
      <xdr:rowOff>52460</xdr:rowOff>
    </xdr:to>
    <mc:AlternateContent xmlns:mc="http://schemas.openxmlformats.org/markup-compatibility/2006" xmlns:a14="http://schemas.microsoft.com/office/drawing/2010/main">
      <mc:Choice Requires="a14">
        <xdr:graphicFrame macro="">
          <xdr:nvGraphicFramePr>
            <xdr:cNvPr id="11" name="Months (post_date)">
              <a:extLst>
                <a:ext uri="{FF2B5EF4-FFF2-40B4-BE49-F238E27FC236}">
                  <a16:creationId xmlns:a16="http://schemas.microsoft.com/office/drawing/2014/main" id="{5BBDC0A7-8A8A-4DD7-A9EE-5D18E00492B8}"/>
                </a:ext>
              </a:extLst>
            </xdr:cNvPr>
            <xdr:cNvGraphicFramePr/>
          </xdr:nvGraphicFramePr>
          <xdr:xfrm>
            <a:off x="0" y="0"/>
            <a:ext cx="0" cy="0"/>
          </xdr:xfrm>
          <a:graphic>
            <a:graphicData uri="http://schemas.microsoft.com/office/drawing/2010/slicer">
              <sle:slicer xmlns:sle="http://schemas.microsoft.com/office/drawing/2010/slicer" name="Months (post_date)"/>
            </a:graphicData>
          </a:graphic>
        </xdr:graphicFrame>
      </mc:Choice>
      <mc:Fallback xmlns="">
        <xdr:sp macro="" textlink="">
          <xdr:nvSpPr>
            <xdr:cNvPr id="0" name=""/>
            <xdr:cNvSpPr>
              <a:spLocks noTextEdit="1"/>
            </xdr:cNvSpPr>
          </xdr:nvSpPr>
          <xdr:spPr>
            <a:xfrm>
              <a:off x="234635" y="2301240"/>
              <a:ext cx="1677985" cy="1774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297180</xdr:colOff>
      <xdr:row>0</xdr:row>
      <xdr:rowOff>68580</xdr:rowOff>
    </xdr:from>
    <xdr:to>
      <xdr:col>16</xdr:col>
      <xdr:colOff>137160</xdr:colOff>
      <xdr:row>2</xdr:row>
      <xdr:rowOff>129540</xdr:rowOff>
    </xdr:to>
    <xdr:sp macro="" textlink="">
      <xdr:nvSpPr>
        <xdr:cNvPr id="34" name="Rectangle: Rounded Corners 33">
          <a:extLst>
            <a:ext uri="{FF2B5EF4-FFF2-40B4-BE49-F238E27FC236}">
              <a16:creationId xmlns:a16="http://schemas.microsoft.com/office/drawing/2014/main" id="{535F2DD2-207E-F826-CDC4-3F8875D9C4C2}"/>
            </a:ext>
          </a:extLst>
        </xdr:cNvPr>
        <xdr:cNvSpPr/>
      </xdr:nvSpPr>
      <xdr:spPr>
        <a:xfrm>
          <a:off x="4564380" y="68580"/>
          <a:ext cx="5326380" cy="426720"/>
        </a:xfrm>
        <a:prstGeom prst="roundRect">
          <a:avLst/>
        </a:prstGeom>
        <a:solidFill>
          <a:schemeClr val="bg1">
            <a:lumMod val="95000"/>
          </a:schemeClr>
        </a:solidFill>
        <a:ln w="12700">
          <a:solidFill>
            <a:schemeClr val="bg1">
              <a:lumMod val="9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2200" b="1">
              <a:solidFill>
                <a:schemeClr val="tx1">
                  <a:lumMod val="75000"/>
                  <a:lumOff val="25000"/>
                </a:schemeClr>
              </a:solidFill>
            </a:rPr>
            <a:t>Instagram Analytics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13.876042361109" createdVersion="8" refreshedVersion="8" minRefreshableVersion="3" recordCount="500" xr:uid="{76D18BAF-E5D0-4CCD-8D0B-72884E13EBD8}">
  <cacheSource type="worksheet">
    <worksheetSource name="Table1"/>
  </cacheSource>
  <cacheFields count="21">
    <cacheField name="account_id" numFmtId="0">
      <sharedItems containsSemiMixedTypes="0" containsString="0" containsNumber="1" containsInteger="1" minValue="1046" maxValue="9986"/>
    </cacheField>
    <cacheField name="username" numFmtId="0">
      <sharedItems/>
    </cacheField>
    <cacheField name="post_id" numFmtId="0">
      <sharedItems/>
    </cacheField>
    <cacheField name="post_type" numFmtId="0">
      <sharedItems count="3">
        <s v="Image"/>
        <s v="Carousel"/>
        <s v="Reel"/>
      </sharedItems>
    </cacheField>
    <cacheField name="post_date" numFmtId="14">
      <sharedItems containsSemiMixedTypes="0" containsNonDate="0" containsDate="1" containsString="0" minDate="2024-01-01T00:00:00" maxDate="2024-12-30T00:00:00" count="266">
        <d v="2024-02-06T00:00:00"/>
        <d v="2024-11-12T00:00:00"/>
        <d v="2024-03-05T00:00:00"/>
        <d v="2024-03-23T00:00:00"/>
        <d v="2024-01-18T00:00:00"/>
        <d v="2024-10-07T00:00:00"/>
        <d v="2024-05-20T00:00:00"/>
        <d v="2024-06-19T00:00:00"/>
        <d v="2024-12-01T00:00:00"/>
        <d v="2024-08-29T00:00:00"/>
        <d v="2024-12-27T00:00:00"/>
        <d v="2024-02-27T00:00:00"/>
        <d v="2024-07-03T00:00:00"/>
        <d v="2024-03-21T00:00:00"/>
        <d v="2024-11-19T00:00:00"/>
        <d v="2024-01-05T00:00:00"/>
        <d v="2024-03-26T00:00:00"/>
        <d v="2024-05-25T00:00:00"/>
        <d v="2024-02-04T00:00:00"/>
        <d v="2024-11-18T00:00:00"/>
        <d v="2024-07-17T00:00:00"/>
        <d v="2024-05-12T00:00:00"/>
        <d v="2024-07-19T00:00:00"/>
        <d v="2024-03-08T00:00:00"/>
        <d v="2024-01-19T00:00:00"/>
        <d v="2024-05-01T00:00:00"/>
        <d v="2024-04-09T00:00:00"/>
        <d v="2024-07-18T00:00:00"/>
        <d v="2024-06-20T00:00:00"/>
        <d v="2024-08-14T00:00:00"/>
        <d v="2024-03-04T00:00:00"/>
        <d v="2024-02-25T00:00:00"/>
        <d v="2024-08-20T00:00:00"/>
        <d v="2024-04-11T00:00:00"/>
        <d v="2024-01-11T00:00:00"/>
        <d v="2024-01-01T00:00:00"/>
        <d v="2024-12-24T00:00:00"/>
        <d v="2024-06-07T00:00:00"/>
        <d v="2024-01-12T00:00:00"/>
        <d v="2024-06-12T00:00:00"/>
        <d v="2024-04-26T00:00:00"/>
        <d v="2024-08-09T00:00:00"/>
        <d v="2024-09-12T00:00:00"/>
        <d v="2024-03-07T00:00:00"/>
        <d v="2024-10-04T00:00:00"/>
        <d v="2024-07-20T00:00:00"/>
        <d v="2024-05-27T00:00:00"/>
        <d v="2024-07-09T00:00:00"/>
        <d v="2024-04-23T00:00:00"/>
        <d v="2024-01-24T00:00:00"/>
        <d v="2024-11-27T00:00:00"/>
        <d v="2024-10-11T00:00:00"/>
        <d v="2024-07-30T00:00:00"/>
        <d v="2024-08-26T00:00:00"/>
        <d v="2024-06-06T00:00:00"/>
        <d v="2024-05-24T00:00:00"/>
        <d v="2024-02-02T00:00:00"/>
        <d v="2024-07-29T00:00:00"/>
        <d v="2024-05-26T00:00:00"/>
        <d v="2024-08-04T00:00:00"/>
        <d v="2024-09-07T00:00:00"/>
        <d v="2024-05-04T00:00:00"/>
        <d v="2024-05-31T00:00:00"/>
        <d v="2024-03-17T00:00:00"/>
        <d v="2024-02-19T00:00:00"/>
        <d v="2024-06-23T00:00:00"/>
        <d v="2024-11-03T00:00:00"/>
        <d v="2024-12-13T00:00:00"/>
        <d v="2024-09-04T00:00:00"/>
        <d v="2024-02-15T00:00:00"/>
        <d v="2024-10-16T00:00:00"/>
        <d v="2024-11-17T00:00:00"/>
        <d v="2024-06-14T00:00:00"/>
        <d v="2024-08-30T00:00:00"/>
        <d v="2024-06-09T00:00:00"/>
        <d v="2024-08-13T00:00:00"/>
        <d v="2024-04-30T00:00:00"/>
        <d v="2024-04-07T00:00:00"/>
        <d v="2024-03-31T00:00:00"/>
        <d v="2024-04-18T00:00:00"/>
        <d v="2024-01-26T00:00:00"/>
        <d v="2024-06-22T00:00:00"/>
        <d v="2024-06-01T00:00:00"/>
        <d v="2024-05-18T00:00:00"/>
        <d v="2024-09-01T00:00:00"/>
        <d v="2024-02-07T00:00:00"/>
        <d v="2024-02-21T00:00:00"/>
        <d v="2024-09-28T00:00:00"/>
        <d v="2024-08-28T00:00:00"/>
        <d v="2024-02-03T00:00:00"/>
        <d v="2024-03-20T00:00:00"/>
        <d v="2024-06-13T00:00:00"/>
        <d v="2024-07-07T00:00:00"/>
        <d v="2024-12-29T00:00:00"/>
        <d v="2024-07-27T00:00:00"/>
        <d v="2024-12-15T00:00:00"/>
        <d v="2024-01-23T00:00:00"/>
        <d v="2024-11-01T00:00:00"/>
        <d v="2024-04-10T00:00:00"/>
        <d v="2024-12-07T00:00:00"/>
        <d v="2024-10-13T00:00:00"/>
        <d v="2024-01-09T00:00:00"/>
        <d v="2024-01-22T00:00:00"/>
        <d v="2024-11-22T00:00:00"/>
        <d v="2024-01-03T00:00:00"/>
        <d v="2024-04-25T00:00:00"/>
        <d v="2024-02-11T00:00:00"/>
        <d v="2024-10-23T00:00:00"/>
        <d v="2024-04-06T00:00:00"/>
        <d v="2024-02-20T00:00:00"/>
        <d v="2024-08-31T00:00:00"/>
        <d v="2024-04-05T00:00:00"/>
        <d v="2024-12-03T00:00:00"/>
        <d v="2024-03-13T00:00:00"/>
        <d v="2024-06-30T00:00:00"/>
        <d v="2024-12-17T00:00:00"/>
        <d v="2024-04-29T00:00:00"/>
        <d v="2024-12-10T00:00:00"/>
        <d v="2024-09-05T00:00:00"/>
        <d v="2024-03-14T00:00:00"/>
        <d v="2024-09-03T00:00:00"/>
        <d v="2024-02-18T00:00:00"/>
        <d v="2024-06-28T00:00:00"/>
        <d v="2024-01-27T00:00:00"/>
        <d v="2024-10-19T00:00:00"/>
        <d v="2024-10-17T00:00:00"/>
        <d v="2024-10-12T00:00:00"/>
        <d v="2024-08-16T00:00:00"/>
        <d v="2024-02-24T00:00:00"/>
        <d v="2024-05-23T00:00:00"/>
        <d v="2024-03-29T00:00:00"/>
        <d v="2024-12-26T00:00:00"/>
        <d v="2024-09-02T00:00:00"/>
        <d v="2024-07-25T00:00:00"/>
        <d v="2024-01-02T00:00:00"/>
        <d v="2024-09-25T00:00:00"/>
        <d v="2024-03-28T00:00:00"/>
        <d v="2024-09-30T00:00:00"/>
        <d v="2024-04-28T00:00:00"/>
        <d v="2024-10-06T00:00:00"/>
        <d v="2024-09-13T00:00:00"/>
        <d v="2024-06-11T00:00:00"/>
        <d v="2024-11-20T00:00:00"/>
        <d v="2024-10-18T00:00:00"/>
        <d v="2024-01-17T00:00:00"/>
        <d v="2024-12-04T00:00:00"/>
        <d v="2024-10-31T00:00:00"/>
        <d v="2024-06-18T00:00:00"/>
        <d v="2024-06-15T00:00:00"/>
        <d v="2024-10-28T00:00:00"/>
        <d v="2024-10-21T00:00:00"/>
        <d v="2024-04-17T00:00:00"/>
        <d v="2024-10-15T00:00:00"/>
        <d v="2024-05-03T00:00:00"/>
        <d v="2024-02-08T00:00:00"/>
        <d v="2024-07-15T00:00:00"/>
        <d v="2024-01-30T00:00:00"/>
        <d v="2024-12-21T00:00:00"/>
        <d v="2024-08-01T00:00:00"/>
        <d v="2024-05-11T00:00:00"/>
        <d v="2024-07-05T00:00:00"/>
        <d v="2024-11-14T00:00:00"/>
        <d v="2024-08-18T00:00:00"/>
        <d v="2024-04-03T00:00:00"/>
        <d v="2024-09-22T00:00:00"/>
        <d v="2024-10-29T00:00:00"/>
        <d v="2024-12-22T00:00:00"/>
        <d v="2024-07-13T00:00:00"/>
        <d v="2024-10-27T00:00:00"/>
        <d v="2024-04-21T00:00:00"/>
        <d v="2024-04-16T00:00:00"/>
        <d v="2024-02-23T00:00:00"/>
        <d v="2024-02-17T00:00:00"/>
        <d v="2024-06-10T00:00:00"/>
        <d v="2024-05-05T00:00:00"/>
        <d v="2024-03-12T00:00:00"/>
        <d v="2024-05-10T00:00:00"/>
        <d v="2024-08-23T00:00:00"/>
        <d v="2024-09-18T00:00:00"/>
        <d v="2024-03-25T00:00:00"/>
        <d v="2024-02-26T00:00:00"/>
        <d v="2024-04-08T00:00:00"/>
        <d v="2024-08-12T00:00:00"/>
        <d v="2024-08-10T00:00:00"/>
        <d v="2024-10-08T00:00:00"/>
        <d v="2024-01-31T00:00:00"/>
        <d v="2024-04-01T00:00:00"/>
        <d v="2024-08-27T00:00:00"/>
        <d v="2024-11-25T00:00:00"/>
        <d v="2024-01-29T00:00:00"/>
        <d v="2024-07-06T00:00:00"/>
        <d v="2024-12-02T00:00:00"/>
        <d v="2024-11-11T00:00:00"/>
        <d v="2024-10-20T00:00:00"/>
        <d v="2024-03-22T00:00:00"/>
        <d v="2024-06-03T00:00:00"/>
        <d v="2024-12-28T00:00:00"/>
        <d v="2024-05-02T00:00:00"/>
        <d v="2024-12-25T00:00:00"/>
        <d v="2024-04-12T00:00:00"/>
        <d v="2024-07-10T00:00:00"/>
        <d v="2024-10-10T00:00:00"/>
        <d v="2024-12-09T00:00:00"/>
        <d v="2024-02-22T00:00:00"/>
        <d v="2024-08-15T00:00:00"/>
        <d v="2024-04-02T00:00:00"/>
        <d v="2024-06-25T00:00:00"/>
        <d v="2024-10-30T00:00:00"/>
        <d v="2024-11-26T00:00:00"/>
        <d v="2024-01-04T00:00:00"/>
        <d v="2024-11-24T00:00:00"/>
        <d v="2024-02-16T00:00:00"/>
        <d v="2024-01-08T00:00:00"/>
        <d v="2024-08-06T00:00:00"/>
        <d v="2024-06-05T00:00:00"/>
        <d v="2024-06-21T00:00:00"/>
        <d v="2024-05-16T00:00:00"/>
        <d v="2024-09-10T00:00:00"/>
        <d v="2024-02-29T00:00:00"/>
        <d v="2024-12-14T00:00:00"/>
        <d v="2024-09-16T00:00:00"/>
        <d v="2024-03-10T00:00:00"/>
        <d v="2024-03-15T00:00:00"/>
        <d v="2024-07-08T00:00:00"/>
        <d v="2024-09-20T00:00:00"/>
        <d v="2024-12-20T00:00:00"/>
        <d v="2024-02-10T00:00:00"/>
        <d v="2024-07-02T00:00:00"/>
        <d v="2024-11-05T00:00:00"/>
        <d v="2024-03-01T00:00:00"/>
        <d v="2024-04-14T00:00:00"/>
        <d v="2024-04-20T00:00:00"/>
        <d v="2024-11-30T00:00:00"/>
        <d v="2024-05-19T00:00:00"/>
        <d v="2024-04-13T00:00:00"/>
        <d v="2024-05-06T00:00:00"/>
        <d v="2024-11-21T00:00:00"/>
        <d v="2024-08-08T00:00:00"/>
        <d v="2024-03-19T00:00:00"/>
        <d v="2024-06-26T00:00:00"/>
        <d v="2024-09-06T00:00:00"/>
        <d v="2024-08-19T00:00:00"/>
        <d v="2024-11-28T00:00:00"/>
        <d v="2024-03-03T00:00:00"/>
        <d v="2024-12-23T00:00:00"/>
        <d v="2024-12-19T00:00:00"/>
        <d v="2024-01-20T00:00:00"/>
        <d v="2024-08-24T00:00:00"/>
        <d v="2024-01-25T00:00:00"/>
        <d v="2024-12-16T00:00:00"/>
        <d v="2024-10-24T00:00:00"/>
        <d v="2024-07-23T00:00:00"/>
        <d v="2024-06-29T00:00:00"/>
        <d v="2024-08-03T00:00:00"/>
        <d v="2024-02-01T00:00:00"/>
        <d v="2024-09-17T00:00:00"/>
        <d v="2024-04-15T00:00:00"/>
        <d v="2024-08-02T00:00:00"/>
        <d v="2024-07-21T00:00:00"/>
        <d v="2024-05-29T00:00:00"/>
        <d v="2024-11-16T00:00:00"/>
        <d v="2024-10-09T00:00:00"/>
        <d v="2024-05-30T00:00:00"/>
        <d v="2024-05-15T00:00:00"/>
        <d v="2024-03-02T00:00:00"/>
        <d v="2024-09-08T00:00:00"/>
      </sharedItems>
      <fieldGroup par="20"/>
    </cacheField>
    <cacheField name="followers_at_post" numFmtId="0">
      <sharedItems containsSemiMixedTypes="0" containsString="0" containsNumber="1" containsInteger="1" minValue="6019" maxValue="494382"/>
    </cacheField>
    <cacheField name="following_at_post" numFmtId="0">
      <sharedItems containsSemiMixedTypes="0" containsString="0" containsNumber="1" containsInteger="1" minValue="110" maxValue="1998"/>
    </cacheField>
    <cacheField name="likes" numFmtId="0">
      <sharedItems containsSemiMixedTypes="0" containsString="0" containsNumber="1" containsInteger="1" minValue="139" maxValue="67739"/>
    </cacheField>
    <cacheField name="comments" numFmtId="0">
      <sharedItems containsSemiMixedTypes="0" containsString="0" containsNumber="1" containsInteger="1" minValue="10" maxValue="11228"/>
    </cacheField>
    <cacheField name="shares" numFmtId="0">
      <sharedItems containsSemiMixedTypes="0" containsString="0" containsNumber="1" containsInteger="1" minValue="11" maxValue="18943"/>
    </cacheField>
    <cacheField name="reach" numFmtId="0">
      <sharedItems containsSemiMixedTypes="0" containsString="0" containsNumber="1" containsInteger="1" minValue="292" maxValue="307510"/>
    </cacheField>
    <cacheField name="impressions" numFmtId="0">
      <sharedItems containsSemiMixedTypes="0" containsString="0" containsNumber="1" containsInteger="1" minValue="509" maxValue="468911"/>
    </cacheField>
    <cacheField name="engagement_rate" numFmtId="10">
      <sharedItems containsSemiMixedTypes="0" containsString="0" containsNumber="1" minValue="9.2187275220119143E-4" maxValue="0.20609638267176683"/>
    </cacheField>
    <cacheField name="hashtag_count" numFmtId="0">
      <sharedItems containsSemiMixedTypes="0" containsString="0" containsNumber="1" containsInteger="1" minValue="3" maxValue="25"/>
    </cacheField>
    <cacheField name="avg_watch_time_sec" numFmtId="0">
      <sharedItems containsSemiMixedTypes="0" containsString="0" containsNumber="1" containsInteger="1" minValue="0" maxValue="45"/>
    </cacheField>
    <cacheField name="saves" numFmtId="0">
      <sharedItems containsSemiMixedTypes="0" containsString="0" containsNumber="1" containsInteger="1" minValue="5" maxValue="5844"/>
    </cacheField>
    <cacheField name="profile_visits" numFmtId="0">
      <sharedItems containsSemiMixedTypes="0" containsString="0" containsNumber="1" containsInteger="1" minValue="17" maxValue="40084"/>
    </cacheField>
    <cacheField name="follower_gain" numFmtId="0">
      <sharedItems containsSemiMixedTypes="0" containsString="0" containsNumber="1" containsInteger="1" minValue="0" maxValue="2489"/>
    </cacheField>
    <cacheField name="posting_hour" numFmtId="0">
      <sharedItems containsSemiMixedTypes="0" containsString="0" containsNumber="1" containsInteger="1" minValue="6" maxValue="23"/>
    </cacheField>
    <cacheField name="posting_time_label" numFmtId="0">
      <sharedItems count="18">
        <s v="10 PM"/>
        <s v="6 PM"/>
        <s v="6 AM"/>
        <s v="9 AM"/>
        <s v="7 AM"/>
        <s v="8 PM"/>
        <s v="3 PM"/>
        <s v="9 PM"/>
        <s v="4 PM"/>
        <s v="12 PM"/>
        <s v="2 PM"/>
        <s v="8 AM"/>
        <s v="10 AM"/>
        <s v="11 PM"/>
        <s v="1 PM"/>
        <s v="5 PM"/>
        <s v="11 AM"/>
        <s v="7 PM"/>
      </sharedItems>
    </cacheField>
    <cacheField name="Months (post_date)" numFmtId="0" databaseField="0">
      <fieldGroup base="4">
        <rangePr groupBy="months" startDate="2024-01-01T00:00:00" endDate="2024-12-30T00:00:00"/>
        <groupItems count="14">
          <s v="&lt;1/1/2024"/>
          <s v="Jan"/>
          <s v="Feb"/>
          <s v="Mar"/>
          <s v="Apr"/>
          <s v="May"/>
          <s v="Jun"/>
          <s v="Jul"/>
          <s v="Aug"/>
          <s v="Sep"/>
          <s v="Oct"/>
          <s v="Nov"/>
          <s v="Dec"/>
          <s v="&gt;12/30/2024"/>
        </groupItems>
      </fieldGroup>
    </cacheField>
  </cacheFields>
  <extLst>
    <ext xmlns:x14="http://schemas.microsoft.com/office/spreadsheetml/2009/9/main" uri="{725AE2AE-9491-48be-B2B4-4EB974FC3084}">
      <x14:pivotCacheDefinition pivotCacheId="5829233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3215"/>
    <s v="user_82"/>
    <s v="P100001"/>
    <x v="0"/>
    <x v="0"/>
    <n v="489201"/>
    <n v="1505"/>
    <n v="7391"/>
    <n v="513"/>
    <n v="581"/>
    <n v="24558"/>
    <n v="17012"/>
    <n v="1.7344608862205922E-2"/>
    <n v="20"/>
    <n v="0"/>
    <n v="311"/>
    <n v="4492"/>
    <n v="0"/>
    <n v="22"/>
    <x v="0"/>
  </r>
  <r>
    <n v="1893"/>
    <s v="user_55"/>
    <s v="P100002"/>
    <x v="0"/>
    <x v="1"/>
    <n v="494382"/>
    <n v="1972"/>
    <n v="24892"/>
    <n v="2452"/>
    <n v="4971"/>
    <n v="87212"/>
    <n v="101703"/>
    <n v="6.5364434789292492E-2"/>
    <n v="19"/>
    <n v="0"/>
    <n v="2200"/>
    <n v="16247"/>
    <n v="269"/>
    <n v="18"/>
    <x v="1"/>
  </r>
  <r>
    <n v="9106"/>
    <s v="user_267"/>
    <s v="P100003"/>
    <x v="1"/>
    <x v="2"/>
    <n v="190532"/>
    <n v="1360"/>
    <n v="24250"/>
    <n v="2997"/>
    <n v="4905"/>
    <n v="63025"/>
    <n v="96658"/>
    <n v="0.16874855667289484"/>
    <n v="14"/>
    <n v="0"/>
    <n v="2106"/>
    <n v="7576"/>
    <n v="291"/>
    <n v="6"/>
    <x v="2"/>
  </r>
  <r>
    <n v="1602"/>
    <s v="user_244"/>
    <s v="P100004"/>
    <x v="0"/>
    <x v="3"/>
    <n v="451571"/>
    <n v="1431"/>
    <n v="58318"/>
    <n v="11162"/>
    <n v="13717"/>
    <n v="228311"/>
    <n v="216870"/>
    <n v="0.18423902332080669"/>
    <n v="8"/>
    <n v="0"/>
    <n v="2655"/>
    <n v="33736"/>
    <n v="0"/>
    <n v="6"/>
    <x v="2"/>
  </r>
  <r>
    <n v="5467"/>
    <s v="user_113"/>
    <s v="P100005"/>
    <x v="0"/>
    <x v="4"/>
    <n v="253764"/>
    <n v="513"/>
    <n v="24194"/>
    <n v="453"/>
    <n v="4745"/>
    <n v="46807"/>
    <n v="83865"/>
    <n v="0.11582415157390331"/>
    <n v="22"/>
    <n v="0"/>
    <n v="1650"/>
    <n v="3395"/>
    <n v="0"/>
    <n v="9"/>
    <x v="3"/>
  </r>
  <r>
    <n v="5030"/>
    <s v="user_225"/>
    <s v="P100006"/>
    <x v="0"/>
    <x v="5"/>
    <n v="186798"/>
    <n v="224"/>
    <n v="7036"/>
    <n v="609"/>
    <n v="1746"/>
    <n v="13439"/>
    <n v="56061"/>
    <n v="5.0273557532735894E-2"/>
    <n v="25"/>
    <n v="0"/>
    <n v="419"/>
    <n v="1598"/>
    <n v="0"/>
    <n v="7"/>
    <x v="4"/>
  </r>
  <r>
    <n v="5782"/>
    <s v="user_100"/>
    <s v="P100007"/>
    <x v="1"/>
    <x v="6"/>
    <n v="286915"/>
    <n v="1621"/>
    <n v="6872"/>
    <n v="787"/>
    <n v="898"/>
    <n v="14373"/>
    <n v="36948"/>
    <n v="2.9824163950995939E-2"/>
    <n v="8"/>
    <n v="0"/>
    <n v="613"/>
    <n v="1360"/>
    <n v="32"/>
    <n v="20"/>
    <x v="5"/>
  </r>
  <r>
    <n v="2020"/>
    <s v="user_86"/>
    <s v="P100008"/>
    <x v="0"/>
    <x v="7"/>
    <n v="132944"/>
    <n v="1293"/>
    <n v="8501"/>
    <n v="469"/>
    <n v="1674"/>
    <n v="23170"/>
    <n v="39036"/>
    <n v="8.0063786255867131E-2"/>
    <n v="4"/>
    <n v="0"/>
    <n v="320"/>
    <n v="4401"/>
    <n v="244"/>
    <n v="15"/>
    <x v="6"/>
  </r>
  <r>
    <n v="5389"/>
    <s v="user_7"/>
    <s v="P100009"/>
    <x v="1"/>
    <x v="8"/>
    <n v="449996"/>
    <n v="1095"/>
    <n v="55254"/>
    <n v="10580"/>
    <n v="5348"/>
    <n v="81713"/>
    <n v="166466"/>
    <n v="0.15818362829891822"/>
    <n v="10"/>
    <n v="0"/>
    <n v="2036"/>
    <n v="6477"/>
    <n v="449"/>
    <n v="21"/>
    <x v="7"/>
  </r>
  <r>
    <n v="4300"/>
    <s v="user_45"/>
    <s v="P100010"/>
    <x v="1"/>
    <x v="9"/>
    <n v="332031"/>
    <n v="888"/>
    <n v="24419"/>
    <n v="327"/>
    <n v="4055"/>
    <n v="32674"/>
    <n v="64297"/>
    <n v="8.6741900605666333E-2"/>
    <n v="11"/>
    <n v="0"/>
    <n v="1942"/>
    <n v="2993"/>
    <n v="0"/>
    <n v="16"/>
    <x v="8"/>
  </r>
  <r>
    <n v="6556"/>
    <s v="user_99"/>
    <s v="P100011"/>
    <x v="1"/>
    <x v="10"/>
    <n v="196479"/>
    <n v="660"/>
    <n v="16288"/>
    <n v="1426"/>
    <n v="2674"/>
    <n v="45900"/>
    <n v="118982"/>
    <n v="0.10376681477409799"/>
    <n v="24"/>
    <n v="0"/>
    <n v="1053"/>
    <n v="2427"/>
    <n v="59"/>
    <n v="6"/>
    <x v="2"/>
  </r>
  <r>
    <n v="2395"/>
    <s v="user_100"/>
    <s v="P100012"/>
    <x v="2"/>
    <x v="11"/>
    <n v="52912"/>
    <n v="1049"/>
    <n v="7362"/>
    <n v="909"/>
    <n v="895"/>
    <n v="34166"/>
    <n v="32057"/>
    <n v="0.17323102509827637"/>
    <n v="13"/>
    <n v="21"/>
    <n v="450"/>
    <n v="3507"/>
    <n v="125"/>
    <n v="12"/>
    <x v="9"/>
  </r>
  <r>
    <n v="4089"/>
    <s v="user_166"/>
    <s v="P100013"/>
    <x v="2"/>
    <x v="12"/>
    <n v="259130"/>
    <n v="1200"/>
    <n v="1144"/>
    <n v="83"/>
    <n v="53"/>
    <n v="1700"/>
    <n v="4771"/>
    <n v="4.9396056033651067E-3"/>
    <n v="12"/>
    <n v="35"/>
    <n v="34"/>
    <n v="175"/>
    <n v="10"/>
    <n v="18"/>
    <x v="1"/>
  </r>
  <r>
    <n v="2696"/>
    <s v="user_184"/>
    <s v="P100014"/>
    <x v="1"/>
    <x v="13"/>
    <n v="47466"/>
    <n v="669"/>
    <n v="1275"/>
    <n v="145"/>
    <n v="202"/>
    <n v="1446"/>
    <n v="4561"/>
    <n v="3.4171828256014829E-2"/>
    <n v="13"/>
    <n v="0"/>
    <n v="119"/>
    <n v="123"/>
    <n v="0"/>
    <n v="14"/>
    <x v="10"/>
  </r>
  <r>
    <n v="6718"/>
    <s v="user_217"/>
    <s v="P100015"/>
    <x v="2"/>
    <x v="14"/>
    <n v="219738"/>
    <n v="139"/>
    <n v="27215"/>
    <n v="5417"/>
    <n v="6375"/>
    <n v="117910"/>
    <n v="120408"/>
    <n v="0.17751595081415139"/>
    <n v="20"/>
    <n v="5"/>
    <n v="1881"/>
    <n v="20905"/>
    <n v="1372"/>
    <n v="20"/>
    <x v="5"/>
  </r>
  <r>
    <n v="3857"/>
    <s v="user_54"/>
    <s v="P100016"/>
    <x v="2"/>
    <x v="15"/>
    <n v="479012"/>
    <n v="1237"/>
    <n v="55860"/>
    <n v="7155"/>
    <n v="14569"/>
    <n v="251484"/>
    <n v="222132"/>
    <n v="0.16196671482134059"/>
    <n v="10"/>
    <n v="45"/>
    <n v="1496"/>
    <n v="37677"/>
    <n v="0"/>
    <n v="14"/>
    <x v="10"/>
  </r>
  <r>
    <n v="5075"/>
    <s v="user_296"/>
    <s v="P100017"/>
    <x v="0"/>
    <x v="16"/>
    <n v="479072"/>
    <n v="1892"/>
    <n v="2529"/>
    <n v="106"/>
    <n v="652"/>
    <n v="11886"/>
    <n v="11200"/>
    <n v="6.8611816177944025E-3"/>
    <n v="16"/>
    <n v="0"/>
    <n v="178"/>
    <n v="1770"/>
    <n v="29"/>
    <n v="16"/>
    <x v="8"/>
  </r>
  <r>
    <n v="9158"/>
    <s v="user_248"/>
    <s v="P100018"/>
    <x v="2"/>
    <x v="17"/>
    <n v="54789"/>
    <n v="1245"/>
    <n v="843"/>
    <n v="12"/>
    <n v="173"/>
    <n v="3665"/>
    <n v="4118"/>
    <n v="1.8762890361203891E-2"/>
    <n v="15"/>
    <n v="19"/>
    <n v="25"/>
    <n v="570"/>
    <n v="27"/>
    <n v="8"/>
    <x v="11"/>
  </r>
  <r>
    <n v="2940"/>
    <s v="user_251"/>
    <s v="P100019"/>
    <x v="2"/>
    <x v="18"/>
    <n v="156076"/>
    <n v="226"/>
    <n v="18689"/>
    <n v="3464"/>
    <n v="2461"/>
    <n v="25170"/>
    <n v="129252"/>
    <n v="0.15770522053358621"/>
    <n v="17"/>
    <n v="19"/>
    <n v="1682"/>
    <n v="1329"/>
    <n v="44"/>
    <n v="12"/>
    <x v="9"/>
  </r>
  <r>
    <n v="7171"/>
    <s v="user_254"/>
    <s v="P100020"/>
    <x v="1"/>
    <x v="19"/>
    <n v="209055"/>
    <n v="732"/>
    <n v="29087"/>
    <n v="4752"/>
    <n v="7983"/>
    <n v="144853"/>
    <n v="129020"/>
    <n v="0.20005261773217575"/>
    <n v="3"/>
    <n v="0"/>
    <n v="2207"/>
    <n v="11712"/>
    <n v="1111"/>
    <n v="10"/>
    <x v="12"/>
  </r>
  <r>
    <n v="6741"/>
    <s v="user_59"/>
    <s v="P100021"/>
    <x v="0"/>
    <x v="20"/>
    <n v="67166"/>
    <n v="1650"/>
    <n v="9487"/>
    <n v="481"/>
    <n v="2261"/>
    <n v="45804"/>
    <n v="20879"/>
    <n v="0.18207128606735551"/>
    <n v="18"/>
    <n v="0"/>
    <n v="285"/>
    <n v="3676"/>
    <n v="56"/>
    <n v="14"/>
    <x v="10"/>
  </r>
  <r>
    <n v="6564"/>
    <s v="user_190"/>
    <s v="P100022"/>
    <x v="1"/>
    <x v="21"/>
    <n v="174979"/>
    <n v="391"/>
    <n v="25964"/>
    <n v="4699"/>
    <n v="4249"/>
    <n v="37968"/>
    <n v="74138"/>
    <n v="0.19952108538738936"/>
    <n v="7"/>
    <n v="0"/>
    <n v="694"/>
    <n v="3767"/>
    <n v="113"/>
    <n v="6"/>
    <x v="2"/>
  </r>
  <r>
    <n v="1699"/>
    <s v="user_180"/>
    <s v="P100023"/>
    <x v="2"/>
    <x v="22"/>
    <n v="363539"/>
    <n v="1729"/>
    <n v="5653"/>
    <n v="469"/>
    <n v="1193"/>
    <n v="7011"/>
    <n v="31365"/>
    <n v="2.0121637568458955E-2"/>
    <n v="13"/>
    <n v="40"/>
    <n v="420"/>
    <n v="1089"/>
    <n v="0"/>
    <n v="7"/>
    <x v="4"/>
  </r>
  <r>
    <n v="1220"/>
    <s v="user_209"/>
    <s v="P100024"/>
    <x v="0"/>
    <x v="23"/>
    <n v="256433"/>
    <n v="1048"/>
    <n v="15469"/>
    <n v="1200"/>
    <n v="2634"/>
    <n v="41439"/>
    <n v="96045"/>
    <n v="7.5275023105450548E-2"/>
    <n v="3"/>
    <n v="0"/>
    <n v="879"/>
    <n v="5529"/>
    <n v="0"/>
    <n v="23"/>
    <x v="13"/>
  </r>
  <r>
    <n v="1670"/>
    <s v="user_292"/>
    <s v="P100025"/>
    <x v="1"/>
    <x v="24"/>
    <n v="77470"/>
    <n v="995"/>
    <n v="5293"/>
    <n v="248"/>
    <n v="1337"/>
    <n v="5476"/>
    <n v="26146"/>
    <n v="8.8782754614689555E-2"/>
    <n v="17"/>
    <n v="0"/>
    <n v="237"/>
    <n v="636"/>
    <n v="59"/>
    <n v="16"/>
    <x v="8"/>
  </r>
  <r>
    <n v="2107"/>
    <s v="user_131"/>
    <s v="P100026"/>
    <x v="1"/>
    <x v="25"/>
    <n v="107368"/>
    <n v="1680"/>
    <n v="7911"/>
    <n v="1523"/>
    <n v="1073"/>
    <n v="33301"/>
    <n v="28410"/>
    <n v="9.7859697489009759E-2"/>
    <n v="13"/>
    <n v="0"/>
    <n v="324"/>
    <n v="6489"/>
    <n v="163"/>
    <n v="12"/>
    <x v="9"/>
  </r>
  <r>
    <n v="5509"/>
    <s v="user_297"/>
    <s v="P100027"/>
    <x v="0"/>
    <x v="26"/>
    <n v="395670"/>
    <n v="1485"/>
    <n v="16503"/>
    <n v="57"/>
    <n v="1555"/>
    <n v="77593"/>
    <n v="103810"/>
    <n v="4.5783102080016173E-2"/>
    <n v="17"/>
    <n v="0"/>
    <n v="864"/>
    <n v="12688"/>
    <n v="0"/>
    <n v="9"/>
    <x v="3"/>
  </r>
  <r>
    <n v="2406"/>
    <s v="user_104"/>
    <s v="P100028"/>
    <x v="0"/>
    <x v="27"/>
    <n v="168038"/>
    <n v="358"/>
    <n v="22689"/>
    <n v="2588"/>
    <n v="4425"/>
    <n v="66007"/>
    <n v="83568"/>
    <n v="0.17675763815327486"/>
    <n v="16"/>
    <n v="0"/>
    <n v="1637"/>
    <n v="13098"/>
    <n v="796"/>
    <n v="9"/>
    <x v="3"/>
  </r>
  <r>
    <n v="7386"/>
    <s v="user_242"/>
    <s v="P100029"/>
    <x v="1"/>
    <x v="28"/>
    <n v="310148"/>
    <n v="1432"/>
    <n v="8999"/>
    <n v="892"/>
    <n v="1977"/>
    <n v="13071"/>
    <n v="71625"/>
    <n v="3.8265602228613436E-2"/>
    <n v="8"/>
    <n v="0"/>
    <n v="751"/>
    <n v="2509"/>
    <n v="211"/>
    <n v="12"/>
    <x v="9"/>
  </r>
  <r>
    <n v="9945"/>
    <s v="user_5"/>
    <s v="P100030"/>
    <x v="2"/>
    <x v="29"/>
    <n v="282965"/>
    <n v="324"/>
    <n v="24346"/>
    <n v="685"/>
    <n v="4519"/>
    <n v="110082"/>
    <n v="191063"/>
    <n v="0.10442987648649127"/>
    <n v="16"/>
    <n v="3"/>
    <n v="956"/>
    <n v="20034"/>
    <n v="0"/>
    <n v="13"/>
    <x v="14"/>
  </r>
  <r>
    <n v="8786"/>
    <s v="user_246"/>
    <s v="P100031"/>
    <x v="2"/>
    <x v="30"/>
    <n v="365930"/>
    <n v="1511"/>
    <n v="44374"/>
    <n v="110"/>
    <n v="6218"/>
    <n v="84633"/>
    <n v="220948"/>
    <n v="0.1385565545322876"/>
    <n v="3"/>
    <n v="37"/>
    <n v="2705"/>
    <n v="14088"/>
    <n v="0"/>
    <n v="17"/>
    <x v="15"/>
  </r>
  <r>
    <n v="7414"/>
    <s v="user_190"/>
    <s v="P100032"/>
    <x v="1"/>
    <x v="31"/>
    <n v="291667"/>
    <n v="1333"/>
    <n v="9062"/>
    <n v="1235"/>
    <n v="2294"/>
    <n v="16832"/>
    <n v="29277"/>
    <n v="4.3169093521035977E-2"/>
    <n v="8"/>
    <n v="0"/>
    <n v="595"/>
    <n v="3301"/>
    <n v="185"/>
    <n v="6"/>
    <x v="2"/>
  </r>
  <r>
    <n v="5619"/>
    <s v="user_277"/>
    <s v="P100033"/>
    <x v="1"/>
    <x v="32"/>
    <n v="49042"/>
    <n v="457"/>
    <n v="4533"/>
    <n v="845"/>
    <n v="730"/>
    <n v="17525"/>
    <n v="18340"/>
    <n v="0.12454630724684963"/>
    <n v="12"/>
    <n v="0"/>
    <n v="91"/>
    <n v="1710"/>
    <n v="117"/>
    <n v="12"/>
    <x v="9"/>
  </r>
  <r>
    <n v="1994"/>
    <s v="user_79"/>
    <s v="P100034"/>
    <x v="0"/>
    <x v="33"/>
    <n v="216539"/>
    <n v="1568"/>
    <n v="21736"/>
    <n v="4223"/>
    <n v="4947"/>
    <n v="51307"/>
    <n v="82711"/>
    <n v="0.14272717616687988"/>
    <n v="13"/>
    <n v="0"/>
    <n v="2077"/>
    <n v="5215"/>
    <n v="368"/>
    <n v="13"/>
    <x v="14"/>
  </r>
  <r>
    <n v="6380"/>
    <s v="user_254"/>
    <s v="P100035"/>
    <x v="2"/>
    <x v="34"/>
    <n v="488313"/>
    <n v="936"/>
    <n v="28906"/>
    <n v="1515"/>
    <n v="8209"/>
    <n v="99917"/>
    <n v="158433"/>
    <n v="7.9109096010141031E-2"/>
    <n v="12"/>
    <n v="38"/>
    <n v="981"/>
    <n v="11658"/>
    <n v="846"/>
    <n v="15"/>
    <x v="6"/>
  </r>
  <r>
    <n v="1806"/>
    <s v="user_44"/>
    <s v="P100036"/>
    <x v="0"/>
    <x v="35"/>
    <n v="474263"/>
    <n v="769"/>
    <n v="19152"/>
    <n v="316"/>
    <n v="4291"/>
    <n v="50236"/>
    <n v="61145"/>
    <n v="5.0096676316727214E-2"/>
    <n v="11"/>
    <n v="0"/>
    <n v="1600"/>
    <n v="8299"/>
    <n v="651"/>
    <n v="22"/>
    <x v="0"/>
  </r>
  <r>
    <n v="4234"/>
    <s v="user_88"/>
    <s v="P100037"/>
    <x v="2"/>
    <x v="36"/>
    <n v="201666"/>
    <n v="1913"/>
    <n v="10375"/>
    <n v="1892"/>
    <n v="1418"/>
    <n v="27598"/>
    <n v="79864"/>
    <n v="6.7859728461912266E-2"/>
    <n v="21"/>
    <n v="30"/>
    <n v="311"/>
    <n v="2287"/>
    <n v="18"/>
    <n v="18"/>
    <x v="1"/>
  </r>
  <r>
    <n v="2985"/>
    <s v="user_105"/>
    <s v="P100038"/>
    <x v="1"/>
    <x v="37"/>
    <n v="422987"/>
    <n v="448"/>
    <n v="44781"/>
    <n v="7552"/>
    <n v="1367"/>
    <n v="217304"/>
    <n v="218862"/>
    <n v="0.12695425627737969"/>
    <n v="24"/>
    <n v="0"/>
    <n v="2174"/>
    <n v="14617"/>
    <n v="0"/>
    <n v="22"/>
    <x v="0"/>
  </r>
  <r>
    <n v="7403"/>
    <s v="user_164"/>
    <s v="P100039"/>
    <x v="2"/>
    <x v="38"/>
    <n v="227249"/>
    <n v="1305"/>
    <n v="5520"/>
    <n v="1011"/>
    <n v="18"/>
    <n v="14650"/>
    <n v="18068"/>
    <n v="2.881860866274439E-2"/>
    <n v="24"/>
    <n v="4"/>
    <n v="165"/>
    <n v="2302"/>
    <n v="69"/>
    <n v="16"/>
    <x v="8"/>
  </r>
  <r>
    <n v="6510"/>
    <s v="user_179"/>
    <s v="P100040"/>
    <x v="2"/>
    <x v="39"/>
    <n v="137591"/>
    <n v="1668"/>
    <n v="7308"/>
    <n v="203"/>
    <n v="829"/>
    <n v="11062"/>
    <n v="44600"/>
    <n v="6.0614429722874313E-2"/>
    <n v="18"/>
    <n v="29"/>
    <n v="620"/>
    <n v="2082"/>
    <n v="72"/>
    <n v="9"/>
    <x v="3"/>
  </r>
  <r>
    <n v="5240"/>
    <s v="user_116"/>
    <s v="P100041"/>
    <x v="1"/>
    <x v="35"/>
    <n v="225536"/>
    <n v="582"/>
    <n v="24715"/>
    <n v="492"/>
    <n v="1810"/>
    <n v="36693"/>
    <n v="100530"/>
    <n v="0.11979018870601589"/>
    <n v="7"/>
    <n v="0"/>
    <n v="2190"/>
    <n v="5994"/>
    <n v="0"/>
    <n v="17"/>
    <x v="15"/>
  </r>
  <r>
    <n v="3391"/>
    <s v="user_243"/>
    <s v="P100042"/>
    <x v="2"/>
    <x v="40"/>
    <n v="268114"/>
    <n v="1786"/>
    <n v="34613"/>
    <n v="2853"/>
    <n v="7313"/>
    <n v="101288"/>
    <n v="275164"/>
    <n v="0.16701477729622474"/>
    <n v="20"/>
    <n v="30"/>
    <n v="712"/>
    <n v="7786"/>
    <n v="505"/>
    <n v="11"/>
    <x v="16"/>
  </r>
  <r>
    <n v="9290"/>
    <s v="user_28"/>
    <s v="P100043"/>
    <x v="1"/>
    <x v="41"/>
    <n v="87127"/>
    <n v="200"/>
    <n v="4551"/>
    <n v="772"/>
    <n v="698"/>
    <n v="13598"/>
    <n v="23830"/>
    <n v="6.9106017652392479E-2"/>
    <n v="19"/>
    <n v="0"/>
    <n v="241"/>
    <n v="1420"/>
    <n v="4"/>
    <n v="7"/>
    <x v="4"/>
  </r>
  <r>
    <n v="6313"/>
    <s v="user_248"/>
    <s v="P100044"/>
    <x v="1"/>
    <x v="42"/>
    <n v="315561"/>
    <n v="1760"/>
    <n v="26105"/>
    <n v="1083"/>
    <n v="813"/>
    <n v="51677"/>
    <n v="58098"/>
    <n v="8.8734032405778915E-2"/>
    <n v="10"/>
    <n v="0"/>
    <n v="1840"/>
    <n v="6601"/>
    <n v="508"/>
    <n v="19"/>
    <x v="17"/>
  </r>
  <r>
    <n v="3347"/>
    <s v="user_257"/>
    <s v="P100045"/>
    <x v="2"/>
    <x v="43"/>
    <n v="397208"/>
    <n v="1082"/>
    <n v="20256"/>
    <n v="3085"/>
    <n v="1643"/>
    <n v="43842"/>
    <n v="116839"/>
    <n v="6.2899035266157782E-2"/>
    <n v="9"/>
    <n v="3"/>
    <n v="683"/>
    <n v="2863"/>
    <n v="261"/>
    <n v="8"/>
    <x v="11"/>
  </r>
  <r>
    <n v="5799"/>
    <s v="user_71"/>
    <s v="P100046"/>
    <x v="2"/>
    <x v="44"/>
    <n v="414282"/>
    <n v="697"/>
    <n v="4278"/>
    <n v="470"/>
    <n v="388"/>
    <n v="18472"/>
    <n v="13833"/>
    <n v="1.2397352527988181E-2"/>
    <n v="11"/>
    <n v="15"/>
    <n v="310"/>
    <n v="1798"/>
    <n v="3"/>
    <n v="14"/>
    <x v="10"/>
  </r>
  <r>
    <n v="1927"/>
    <s v="user_98"/>
    <s v="P100047"/>
    <x v="1"/>
    <x v="45"/>
    <n v="182559"/>
    <n v="1295"/>
    <n v="16860"/>
    <n v="742"/>
    <n v="162"/>
    <n v="51703"/>
    <n v="111830"/>
    <n v="9.7305528623623044E-2"/>
    <n v="19"/>
    <n v="0"/>
    <n v="350"/>
    <n v="3482"/>
    <n v="64"/>
    <n v="20"/>
    <x v="5"/>
  </r>
  <r>
    <n v="3759"/>
    <s v="user_248"/>
    <s v="P100048"/>
    <x v="2"/>
    <x v="26"/>
    <n v="222954"/>
    <n v="1081"/>
    <n v="19577"/>
    <n v="1742"/>
    <n v="948"/>
    <n v="51951"/>
    <n v="103048"/>
    <n v="9.9872619464104709E-2"/>
    <n v="14"/>
    <n v="33"/>
    <n v="1301"/>
    <n v="9159"/>
    <n v="441"/>
    <n v="10"/>
    <x v="12"/>
  </r>
  <r>
    <n v="5357"/>
    <s v="user_271"/>
    <s v="P100049"/>
    <x v="2"/>
    <x v="46"/>
    <n v="16634"/>
    <n v="452"/>
    <n v="749"/>
    <n v="69"/>
    <n v="133"/>
    <n v="1205"/>
    <n v="2001"/>
    <n v="5.7172057232175062E-2"/>
    <n v="8"/>
    <n v="18"/>
    <n v="39"/>
    <n v="174"/>
    <n v="0"/>
    <n v="22"/>
    <x v="0"/>
  </r>
  <r>
    <n v="6119"/>
    <s v="user_273"/>
    <s v="P100050"/>
    <x v="0"/>
    <x v="24"/>
    <n v="91600"/>
    <n v="550"/>
    <n v="7479"/>
    <n v="661"/>
    <n v="124"/>
    <n v="17409"/>
    <n v="27997"/>
    <n v="9.0218340611353712E-2"/>
    <n v="7"/>
    <n v="0"/>
    <n v="641"/>
    <n v="2763"/>
    <n v="0"/>
    <n v="16"/>
    <x v="8"/>
  </r>
  <r>
    <n v="6145"/>
    <s v="user_43"/>
    <s v="P100051"/>
    <x v="2"/>
    <x v="47"/>
    <n v="473325"/>
    <n v="1316"/>
    <n v="19773"/>
    <n v="421"/>
    <n v="256"/>
    <n v="52674"/>
    <n v="93229"/>
    <n v="4.3204986003274708E-2"/>
    <n v="5"/>
    <n v="18"/>
    <n v="447"/>
    <n v="6034"/>
    <n v="125"/>
    <n v="15"/>
    <x v="6"/>
  </r>
  <r>
    <n v="6216"/>
    <s v="user_77"/>
    <s v="P100052"/>
    <x v="0"/>
    <x v="48"/>
    <n v="329485"/>
    <n v="1114"/>
    <n v="34770"/>
    <n v="4149"/>
    <n v="1916"/>
    <n v="144762"/>
    <n v="196353"/>
    <n v="0.12393583926430642"/>
    <n v="23"/>
    <n v="0"/>
    <n v="785"/>
    <n v="28040"/>
    <n v="1984"/>
    <n v="14"/>
    <x v="10"/>
  </r>
  <r>
    <n v="1999"/>
    <s v="user_129"/>
    <s v="P100053"/>
    <x v="2"/>
    <x v="49"/>
    <n v="186405"/>
    <n v="749"/>
    <n v="139"/>
    <n v="22"/>
    <n v="26"/>
    <n v="292"/>
    <n v="741"/>
    <n v="1.0031919744642043E-3"/>
    <n v="6"/>
    <n v="31"/>
    <n v="7"/>
    <n v="17"/>
    <n v="2"/>
    <n v="21"/>
    <x v="7"/>
  </r>
  <r>
    <n v="9854"/>
    <s v="user_12"/>
    <s v="P100054"/>
    <x v="1"/>
    <x v="50"/>
    <n v="187170"/>
    <n v="527"/>
    <n v="15287"/>
    <n v="2091"/>
    <n v="3915"/>
    <n v="57194"/>
    <n v="59587"/>
    <n v="0.11376288935192605"/>
    <n v="11"/>
    <n v="0"/>
    <n v="318"/>
    <n v="3168"/>
    <n v="0"/>
    <n v="7"/>
    <x v="4"/>
  </r>
  <r>
    <n v="8828"/>
    <s v="user_221"/>
    <s v="P100055"/>
    <x v="1"/>
    <x v="51"/>
    <n v="268966"/>
    <n v="380"/>
    <n v="9665"/>
    <n v="195"/>
    <n v="400"/>
    <n v="36941"/>
    <n v="33283"/>
    <n v="3.8146085378821117E-2"/>
    <n v="6"/>
    <n v="0"/>
    <n v="620"/>
    <n v="3257"/>
    <n v="0"/>
    <n v="6"/>
    <x v="2"/>
  </r>
  <r>
    <n v="9293"/>
    <s v="user_3"/>
    <s v="P100056"/>
    <x v="2"/>
    <x v="31"/>
    <n v="398949"/>
    <n v="1970"/>
    <n v="31695"/>
    <n v="326"/>
    <n v="8536"/>
    <n v="82771"/>
    <n v="154865"/>
    <n v="0.10165961062692223"/>
    <n v="14"/>
    <n v="36"/>
    <n v="2177"/>
    <n v="11644"/>
    <n v="0"/>
    <n v="19"/>
    <x v="17"/>
  </r>
  <r>
    <n v="2270"/>
    <s v="user_71"/>
    <s v="P100057"/>
    <x v="0"/>
    <x v="52"/>
    <n v="482869"/>
    <n v="431"/>
    <n v="31490"/>
    <n v="5176"/>
    <n v="1697"/>
    <n v="132950"/>
    <n v="216471"/>
    <n v="7.9448049056783515E-2"/>
    <n v="12"/>
    <n v="0"/>
    <n v="3091"/>
    <n v="20177"/>
    <n v="379"/>
    <n v="7"/>
    <x v="4"/>
  </r>
  <r>
    <n v="4827"/>
    <s v="user_194"/>
    <s v="P100058"/>
    <x v="2"/>
    <x v="4"/>
    <n v="304804"/>
    <n v="862"/>
    <n v="30319"/>
    <n v="5114"/>
    <n v="1965"/>
    <n v="48113"/>
    <n v="70904"/>
    <n v="0.12269524021994462"/>
    <n v="11"/>
    <n v="36"/>
    <n v="2234"/>
    <n v="3213"/>
    <n v="174"/>
    <n v="12"/>
    <x v="9"/>
  </r>
  <r>
    <n v="9277"/>
    <s v="user_242"/>
    <s v="P100059"/>
    <x v="0"/>
    <x v="53"/>
    <n v="253400"/>
    <n v="306"/>
    <n v="6696"/>
    <n v="1160"/>
    <n v="1930"/>
    <n v="9379"/>
    <n v="41015"/>
    <n v="3.8618784530386738E-2"/>
    <n v="18"/>
    <n v="0"/>
    <n v="282"/>
    <n v="1485"/>
    <n v="5"/>
    <n v="11"/>
    <x v="16"/>
  </r>
  <r>
    <n v="6519"/>
    <s v="user_77"/>
    <s v="P100060"/>
    <x v="1"/>
    <x v="54"/>
    <n v="359725"/>
    <n v="1472"/>
    <n v="25755"/>
    <n v="2665"/>
    <n v="2973"/>
    <n v="41378"/>
    <n v="129721"/>
    <n v="8.7269441934811315E-2"/>
    <n v="15"/>
    <n v="0"/>
    <n v="2478"/>
    <n v="5201"/>
    <n v="380"/>
    <n v="15"/>
    <x v="6"/>
  </r>
  <r>
    <n v="7526"/>
    <s v="user_30"/>
    <s v="P100061"/>
    <x v="1"/>
    <x v="55"/>
    <n v="171647"/>
    <n v="281"/>
    <n v="6211"/>
    <n v="830"/>
    <n v="517"/>
    <n v="17703"/>
    <n v="46823"/>
    <n v="4.4032228934965362E-2"/>
    <n v="15"/>
    <n v="0"/>
    <n v="220"/>
    <n v="1509"/>
    <n v="43"/>
    <n v="13"/>
    <x v="14"/>
  </r>
  <r>
    <n v="4004"/>
    <s v="user_34"/>
    <s v="P100062"/>
    <x v="2"/>
    <x v="56"/>
    <n v="483577"/>
    <n v="1054"/>
    <n v="3128"/>
    <n v="385"/>
    <n v="502"/>
    <n v="10584"/>
    <n v="7918"/>
    <n v="8.3027108402591518E-3"/>
    <n v="14"/>
    <n v="4"/>
    <n v="73"/>
    <n v="915"/>
    <n v="0"/>
    <n v="12"/>
    <x v="9"/>
  </r>
  <r>
    <n v="5617"/>
    <s v="user_268"/>
    <s v="P100063"/>
    <x v="2"/>
    <x v="57"/>
    <n v="91491"/>
    <n v="1259"/>
    <n v="7229"/>
    <n v="684"/>
    <n v="729"/>
    <n v="22563"/>
    <n v="49531"/>
    <n v="9.4457378321364943E-2"/>
    <n v="23"/>
    <n v="41"/>
    <n v="362"/>
    <n v="1794"/>
    <n v="0"/>
    <n v="21"/>
    <x v="7"/>
  </r>
  <r>
    <n v="1061"/>
    <s v="user_67"/>
    <s v="P100064"/>
    <x v="0"/>
    <x v="58"/>
    <n v="414424"/>
    <n v="1120"/>
    <n v="34407"/>
    <n v="5083"/>
    <n v="5737"/>
    <n v="140685"/>
    <n v="189050"/>
    <n v="0.10913219311622879"/>
    <n v="23"/>
    <n v="0"/>
    <n v="2478"/>
    <n v="10593"/>
    <n v="0"/>
    <n v="16"/>
    <x v="8"/>
  </r>
  <r>
    <n v="5804"/>
    <s v="user_271"/>
    <s v="P100065"/>
    <x v="2"/>
    <x v="59"/>
    <n v="147715"/>
    <n v="707"/>
    <n v="8592"/>
    <n v="383"/>
    <n v="959"/>
    <n v="40140"/>
    <n v="60298"/>
    <n v="6.7251125478116638E-2"/>
    <n v="6"/>
    <n v="32"/>
    <n v="200"/>
    <n v="6327"/>
    <n v="0"/>
    <n v="13"/>
    <x v="14"/>
  </r>
  <r>
    <n v="9007"/>
    <s v="user_298"/>
    <s v="P100066"/>
    <x v="2"/>
    <x v="60"/>
    <n v="212934"/>
    <n v="446"/>
    <n v="30497"/>
    <n v="2083"/>
    <n v="7651"/>
    <n v="140222"/>
    <n v="125685"/>
    <n v="0.18893647796969953"/>
    <n v="9"/>
    <n v="16"/>
    <n v="2662"/>
    <n v="20653"/>
    <n v="0"/>
    <n v="12"/>
    <x v="9"/>
  </r>
  <r>
    <n v="9444"/>
    <s v="user_300"/>
    <s v="P100067"/>
    <x v="1"/>
    <x v="61"/>
    <n v="155729"/>
    <n v="622"/>
    <n v="16736"/>
    <n v="2419"/>
    <n v="3203"/>
    <n v="41787"/>
    <n v="78709"/>
    <n v="0.14356991953971321"/>
    <n v="17"/>
    <n v="0"/>
    <n v="441"/>
    <n v="3753"/>
    <n v="113"/>
    <n v="10"/>
    <x v="12"/>
  </r>
  <r>
    <n v="6676"/>
    <s v="user_147"/>
    <s v="P100068"/>
    <x v="0"/>
    <x v="62"/>
    <n v="463600"/>
    <n v="401"/>
    <n v="58652"/>
    <n v="9658"/>
    <n v="4536"/>
    <n v="223640"/>
    <n v="265255"/>
    <n v="0.15713114754098362"/>
    <n v="9"/>
    <n v="0"/>
    <n v="5625"/>
    <n v="15985"/>
    <n v="972"/>
    <n v="15"/>
    <x v="6"/>
  </r>
  <r>
    <n v="6201"/>
    <s v="user_65"/>
    <s v="P100069"/>
    <x v="0"/>
    <x v="63"/>
    <n v="43822"/>
    <n v="966"/>
    <n v="4432"/>
    <n v="788"/>
    <n v="161"/>
    <n v="19975"/>
    <n v="14854"/>
    <n v="0.12279220482862489"/>
    <n v="19"/>
    <n v="0"/>
    <n v="433"/>
    <n v="1818"/>
    <n v="98"/>
    <n v="17"/>
    <x v="15"/>
  </r>
  <r>
    <n v="7892"/>
    <s v="user_68"/>
    <s v="P100070"/>
    <x v="1"/>
    <x v="62"/>
    <n v="45755"/>
    <n v="1135"/>
    <n v="5299"/>
    <n v="948"/>
    <n v="1401"/>
    <n v="6527"/>
    <n v="26824"/>
    <n v="0.16715113102393181"/>
    <n v="13"/>
    <n v="0"/>
    <n v="261"/>
    <n v="926"/>
    <n v="0"/>
    <n v="6"/>
    <x v="2"/>
  </r>
  <r>
    <n v="1423"/>
    <s v="user_273"/>
    <s v="P100071"/>
    <x v="2"/>
    <x v="64"/>
    <n v="440042"/>
    <n v="162"/>
    <n v="1535"/>
    <n v="20"/>
    <n v="106"/>
    <n v="3054"/>
    <n v="11226"/>
    <n v="3.774639693483804E-3"/>
    <n v="8"/>
    <n v="26"/>
    <n v="99"/>
    <n v="317"/>
    <n v="4"/>
    <n v="18"/>
    <x v="1"/>
  </r>
  <r>
    <n v="7318"/>
    <s v="user_44"/>
    <s v="P100072"/>
    <x v="0"/>
    <x v="65"/>
    <n v="274452"/>
    <n v="1578"/>
    <n v="30504"/>
    <n v="2050"/>
    <n v="5678"/>
    <n v="76689"/>
    <n v="137752"/>
    <n v="0.1393030475274365"/>
    <n v="14"/>
    <n v="0"/>
    <n v="3031"/>
    <n v="5402"/>
    <n v="0"/>
    <n v="14"/>
    <x v="10"/>
  </r>
  <r>
    <n v="1897"/>
    <s v="user_136"/>
    <s v="P100073"/>
    <x v="0"/>
    <x v="61"/>
    <n v="44846"/>
    <n v="1920"/>
    <n v="5491"/>
    <n v="280"/>
    <n v="27"/>
    <n v="22209"/>
    <n v="20843"/>
    <n v="0.12928689292244569"/>
    <n v="18"/>
    <n v="0"/>
    <n v="526"/>
    <n v="1882"/>
    <n v="0"/>
    <n v="6"/>
    <x v="2"/>
  </r>
  <r>
    <n v="2556"/>
    <s v="user_94"/>
    <s v="P100074"/>
    <x v="2"/>
    <x v="66"/>
    <n v="239489"/>
    <n v="1460"/>
    <n v="15391"/>
    <n v="2808"/>
    <n v="4502"/>
    <n v="46355"/>
    <n v="99597"/>
    <n v="9.4789322265323245E-2"/>
    <n v="8"/>
    <n v="18"/>
    <n v="367"/>
    <n v="3900"/>
    <n v="0"/>
    <n v="13"/>
    <x v="14"/>
  </r>
  <r>
    <n v="2991"/>
    <s v="user_186"/>
    <s v="P100075"/>
    <x v="0"/>
    <x v="67"/>
    <n v="280243"/>
    <n v="699"/>
    <n v="33007"/>
    <n v="145"/>
    <n v="260"/>
    <n v="159885"/>
    <n v="148855"/>
    <n v="0.11922510107299736"/>
    <n v="7"/>
    <n v="0"/>
    <n v="3184"/>
    <n v="28922"/>
    <n v="2489"/>
    <n v="8"/>
    <x v="11"/>
  </r>
  <r>
    <n v="3593"/>
    <s v="user_246"/>
    <s v="P100076"/>
    <x v="2"/>
    <x v="64"/>
    <n v="104860"/>
    <n v="712"/>
    <n v="8794"/>
    <n v="977"/>
    <n v="1700"/>
    <n v="28081"/>
    <n v="43145"/>
    <n v="0.10939347701697501"/>
    <n v="5"/>
    <n v="5"/>
    <n v="546"/>
    <n v="3641"/>
    <n v="298"/>
    <n v="22"/>
    <x v="0"/>
  </r>
  <r>
    <n v="8848"/>
    <s v="user_6"/>
    <s v="P100077"/>
    <x v="0"/>
    <x v="68"/>
    <n v="387342"/>
    <n v="297"/>
    <n v="52034"/>
    <n v="2101"/>
    <n v="6786"/>
    <n v="83122"/>
    <n v="117897"/>
    <n v="0.15727961336493332"/>
    <n v="7"/>
    <n v="0"/>
    <n v="3008"/>
    <n v="8732"/>
    <n v="0"/>
    <n v="21"/>
    <x v="7"/>
  </r>
  <r>
    <n v="6474"/>
    <s v="user_235"/>
    <s v="P100078"/>
    <x v="0"/>
    <x v="69"/>
    <n v="43663"/>
    <n v="1326"/>
    <n v="1931"/>
    <n v="287"/>
    <n v="81"/>
    <n v="3808"/>
    <n v="15068"/>
    <n v="5.2653276229301695E-2"/>
    <n v="18"/>
    <n v="0"/>
    <n v="158"/>
    <n v="573"/>
    <n v="51"/>
    <n v="13"/>
    <x v="14"/>
  </r>
  <r>
    <n v="6662"/>
    <s v="user_106"/>
    <s v="P100079"/>
    <x v="2"/>
    <x v="70"/>
    <n v="131822"/>
    <n v="1936"/>
    <n v="7577"/>
    <n v="422"/>
    <n v="1680"/>
    <n v="35052"/>
    <n v="30420"/>
    <n v="7.3424769765289555E-2"/>
    <n v="24"/>
    <n v="37"/>
    <n v="672"/>
    <n v="2139"/>
    <n v="173"/>
    <n v="14"/>
    <x v="10"/>
  </r>
  <r>
    <n v="1421"/>
    <s v="user_189"/>
    <s v="P100080"/>
    <x v="0"/>
    <x v="71"/>
    <n v="414595"/>
    <n v="1393"/>
    <n v="920"/>
    <n v="120"/>
    <n v="165"/>
    <n v="4136"/>
    <n v="5030"/>
    <n v="2.9064508737442563E-3"/>
    <n v="14"/>
    <n v="0"/>
    <n v="66"/>
    <n v="743"/>
    <n v="0"/>
    <n v="13"/>
    <x v="14"/>
  </r>
  <r>
    <n v="1315"/>
    <s v="user_249"/>
    <s v="P100081"/>
    <x v="0"/>
    <x v="72"/>
    <n v="295476"/>
    <n v="1207"/>
    <n v="40590"/>
    <n v="419"/>
    <n v="8369"/>
    <n v="136037"/>
    <n v="261842"/>
    <n v="0.167113403457472"/>
    <n v="9"/>
    <n v="0"/>
    <n v="1525"/>
    <n v="25390"/>
    <n v="1771"/>
    <n v="16"/>
    <x v="8"/>
  </r>
  <r>
    <n v="2167"/>
    <s v="user_208"/>
    <s v="P100082"/>
    <x v="0"/>
    <x v="73"/>
    <n v="241730"/>
    <n v="1542"/>
    <n v="18641"/>
    <n v="3167"/>
    <n v="2589"/>
    <n v="83203"/>
    <n v="146378"/>
    <n v="0.1009266537045464"/>
    <n v="21"/>
    <n v="0"/>
    <n v="759"/>
    <n v="11110"/>
    <n v="229"/>
    <n v="6"/>
    <x v="2"/>
  </r>
  <r>
    <n v="3690"/>
    <s v="user_38"/>
    <s v="P100083"/>
    <x v="1"/>
    <x v="74"/>
    <n v="167063"/>
    <n v="980"/>
    <n v="9579"/>
    <n v="1477"/>
    <n v="1345"/>
    <n v="37808"/>
    <n v="35358"/>
    <n v="7.4229482291111731E-2"/>
    <n v="10"/>
    <n v="0"/>
    <n v="885"/>
    <n v="4340"/>
    <n v="0"/>
    <n v="7"/>
    <x v="4"/>
  </r>
  <r>
    <n v="4928"/>
    <s v="user_45"/>
    <s v="P100084"/>
    <x v="1"/>
    <x v="75"/>
    <n v="147701"/>
    <n v="150"/>
    <n v="10011"/>
    <n v="1820"/>
    <n v="389"/>
    <n v="15153"/>
    <n v="22967"/>
    <n v="8.2734714050683472E-2"/>
    <n v="11"/>
    <n v="0"/>
    <n v="458"/>
    <n v="2946"/>
    <n v="88"/>
    <n v="6"/>
    <x v="2"/>
  </r>
  <r>
    <n v="1509"/>
    <s v="user_113"/>
    <s v="P100085"/>
    <x v="0"/>
    <x v="76"/>
    <n v="79854"/>
    <n v="1836"/>
    <n v="7631"/>
    <n v="1464"/>
    <n v="1367"/>
    <n v="18473"/>
    <n v="58082"/>
    <n v="0.13101410073383926"/>
    <n v="4"/>
    <n v="0"/>
    <n v="655"/>
    <n v="1564"/>
    <n v="116"/>
    <n v="7"/>
    <x v="4"/>
  </r>
  <r>
    <n v="6881"/>
    <s v="user_201"/>
    <s v="P100086"/>
    <x v="2"/>
    <x v="77"/>
    <n v="451513"/>
    <n v="513"/>
    <n v="21863"/>
    <n v="2927"/>
    <n v="1823"/>
    <n v="28876"/>
    <n v="68868"/>
    <n v="5.8941824487888497E-2"/>
    <n v="11"/>
    <n v="22"/>
    <n v="729"/>
    <n v="1761"/>
    <n v="128"/>
    <n v="19"/>
    <x v="17"/>
  </r>
  <r>
    <n v="3330"/>
    <s v="user_229"/>
    <s v="P100087"/>
    <x v="1"/>
    <x v="78"/>
    <n v="445661"/>
    <n v="333"/>
    <n v="49735"/>
    <n v="7903"/>
    <n v="374"/>
    <n v="177155"/>
    <n v="363373"/>
    <n v="0.13017069027803643"/>
    <n v="16"/>
    <n v="0"/>
    <n v="3019"/>
    <n v="12356"/>
    <n v="182"/>
    <n v="14"/>
    <x v="10"/>
  </r>
  <r>
    <n v="8578"/>
    <s v="user_194"/>
    <s v="P100088"/>
    <x v="2"/>
    <x v="79"/>
    <n v="298368"/>
    <n v="589"/>
    <n v="5666"/>
    <n v="186"/>
    <n v="1469"/>
    <n v="6127"/>
    <n v="23135"/>
    <n v="2.45368135993136E-2"/>
    <n v="21"/>
    <n v="26"/>
    <n v="522"/>
    <n v="367"/>
    <n v="3"/>
    <n v="15"/>
    <x v="6"/>
  </r>
  <r>
    <n v="3771"/>
    <s v="user_79"/>
    <s v="P100089"/>
    <x v="2"/>
    <x v="25"/>
    <n v="479613"/>
    <n v="324"/>
    <n v="9447"/>
    <n v="1634"/>
    <n v="2257"/>
    <n v="16924"/>
    <n v="54595"/>
    <n v="2.7809921749410462E-2"/>
    <n v="19"/>
    <n v="36"/>
    <n v="190"/>
    <n v="2121"/>
    <n v="156"/>
    <n v="9"/>
    <x v="3"/>
  </r>
  <r>
    <n v="1446"/>
    <s v="user_282"/>
    <s v="P100090"/>
    <x v="1"/>
    <x v="80"/>
    <n v="55458"/>
    <n v="718"/>
    <n v="4970"/>
    <n v="746"/>
    <n v="234"/>
    <n v="17291"/>
    <n v="35038"/>
    <n v="0.10728839842763893"/>
    <n v="21"/>
    <n v="0"/>
    <n v="144"/>
    <n v="2079"/>
    <n v="118"/>
    <n v="14"/>
    <x v="10"/>
  </r>
  <r>
    <n v="8481"/>
    <s v="user_165"/>
    <s v="P100091"/>
    <x v="2"/>
    <x v="81"/>
    <n v="417351"/>
    <n v="1762"/>
    <n v="32773"/>
    <n v="5249"/>
    <n v="8330"/>
    <n v="76445"/>
    <n v="200642"/>
    <n v="0.11106239112881004"/>
    <n v="18"/>
    <n v="38"/>
    <n v="2031"/>
    <n v="7610"/>
    <n v="77"/>
    <n v="15"/>
    <x v="6"/>
  </r>
  <r>
    <n v="3915"/>
    <s v="user_245"/>
    <s v="P100092"/>
    <x v="1"/>
    <x v="82"/>
    <n v="274118"/>
    <n v="1629"/>
    <n v="26690"/>
    <n v="3462"/>
    <n v="4060"/>
    <n v="38625"/>
    <n v="184881"/>
    <n v="0.12480756462545327"/>
    <n v="7"/>
    <n v="0"/>
    <n v="1052"/>
    <n v="4836"/>
    <n v="0"/>
    <n v="8"/>
    <x v="11"/>
  </r>
  <r>
    <n v="7495"/>
    <s v="user_68"/>
    <s v="P100093"/>
    <x v="2"/>
    <x v="66"/>
    <n v="36484"/>
    <n v="1159"/>
    <n v="171"/>
    <n v="29"/>
    <n v="46"/>
    <n v="490"/>
    <n v="509"/>
    <n v="6.7426817234952311E-3"/>
    <n v="18"/>
    <n v="9"/>
    <n v="17"/>
    <n v="84"/>
    <n v="0"/>
    <n v="23"/>
    <x v="13"/>
  </r>
  <r>
    <n v="8993"/>
    <s v="user_290"/>
    <s v="P100094"/>
    <x v="2"/>
    <x v="83"/>
    <n v="231300"/>
    <n v="574"/>
    <n v="7400"/>
    <n v="931"/>
    <n v="1747"/>
    <n v="25632"/>
    <n v="27605"/>
    <n v="4.3571119757890187E-2"/>
    <n v="24"/>
    <n v="38"/>
    <n v="266"/>
    <n v="3021"/>
    <n v="0"/>
    <n v="19"/>
    <x v="17"/>
  </r>
  <r>
    <n v="9778"/>
    <s v="user_71"/>
    <s v="P100095"/>
    <x v="0"/>
    <x v="51"/>
    <n v="316973"/>
    <n v="1941"/>
    <n v="25340"/>
    <n v="3182"/>
    <n v="2710"/>
    <n v="90855"/>
    <n v="113585"/>
    <n v="9.8532051625848258E-2"/>
    <n v="9"/>
    <n v="0"/>
    <n v="2102"/>
    <n v="9756"/>
    <n v="751"/>
    <n v="7"/>
    <x v="4"/>
  </r>
  <r>
    <n v="8117"/>
    <s v="user_260"/>
    <s v="P100096"/>
    <x v="1"/>
    <x v="84"/>
    <n v="220602"/>
    <n v="1991"/>
    <n v="21108"/>
    <n v="4146"/>
    <n v="4330"/>
    <n v="85478"/>
    <n v="106776"/>
    <n v="0.13410576513358899"/>
    <n v="19"/>
    <n v="0"/>
    <n v="1948"/>
    <n v="12386"/>
    <n v="0"/>
    <n v="16"/>
    <x v="8"/>
  </r>
  <r>
    <n v="5744"/>
    <s v="user_157"/>
    <s v="P100097"/>
    <x v="2"/>
    <x v="85"/>
    <n v="477198"/>
    <n v="158"/>
    <n v="33613"/>
    <n v="4287"/>
    <n v="8061"/>
    <n v="43644"/>
    <n v="92393"/>
    <n v="9.6314318165625176E-2"/>
    <n v="3"/>
    <n v="20"/>
    <n v="1673"/>
    <n v="6056"/>
    <n v="127"/>
    <n v="17"/>
    <x v="15"/>
  </r>
  <r>
    <n v="1365"/>
    <s v="user_39"/>
    <s v="P100098"/>
    <x v="2"/>
    <x v="86"/>
    <n v="355957"/>
    <n v="835"/>
    <n v="27276"/>
    <n v="5408"/>
    <n v="3396"/>
    <n v="54198"/>
    <n v="192378"/>
    <n v="0.1013605575954399"/>
    <n v="8"/>
    <n v="45"/>
    <n v="1440"/>
    <n v="8738"/>
    <n v="0"/>
    <n v="20"/>
    <x v="5"/>
  </r>
  <r>
    <n v="8121"/>
    <s v="user_68"/>
    <s v="P100099"/>
    <x v="1"/>
    <x v="87"/>
    <n v="419770"/>
    <n v="1911"/>
    <n v="48891"/>
    <n v="7729"/>
    <n v="13804"/>
    <n v="121973"/>
    <n v="238676"/>
    <n v="0.16776806346332515"/>
    <n v="9"/>
    <n v="0"/>
    <n v="1074"/>
    <n v="23389"/>
    <n v="0"/>
    <n v="11"/>
    <x v="16"/>
  </r>
  <r>
    <n v="7823"/>
    <s v="user_209"/>
    <s v="P100100"/>
    <x v="1"/>
    <x v="88"/>
    <n v="167857"/>
    <n v="334"/>
    <n v="7123"/>
    <n v="622"/>
    <n v="1936"/>
    <n v="11154"/>
    <n v="43474"/>
    <n v="5.7674091637524801E-2"/>
    <n v="5"/>
    <n v="0"/>
    <n v="387"/>
    <n v="1551"/>
    <n v="91"/>
    <n v="6"/>
    <x v="2"/>
  </r>
  <r>
    <n v="8611"/>
    <s v="user_15"/>
    <s v="P100101"/>
    <x v="0"/>
    <x v="89"/>
    <n v="439098"/>
    <n v="555"/>
    <n v="16232"/>
    <n v="1343"/>
    <n v="4622"/>
    <n v="56870"/>
    <n v="103518"/>
    <n v="5.0551357555716492E-2"/>
    <n v="16"/>
    <n v="0"/>
    <n v="1166"/>
    <n v="8872"/>
    <n v="549"/>
    <n v="15"/>
    <x v="6"/>
  </r>
  <r>
    <n v="2971"/>
    <s v="user_137"/>
    <s v="P100102"/>
    <x v="2"/>
    <x v="68"/>
    <n v="18005"/>
    <n v="118"/>
    <n v="486"/>
    <n v="11"/>
    <n v="133"/>
    <n v="2060"/>
    <n v="3148"/>
    <n v="3.4990280477645096E-2"/>
    <n v="15"/>
    <n v="9"/>
    <n v="33"/>
    <n v="167"/>
    <n v="0"/>
    <n v="13"/>
    <x v="14"/>
  </r>
  <r>
    <n v="7047"/>
    <s v="user_225"/>
    <s v="P100103"/>
    <x v="1"/>
    <x v="90"/>
    <n v="247103"/>
    <n v="798"/>
    <n v="11129"/>
    <n v="1745"/>
    <n v="3223"/>
    <n v="44925"/>
    <n v="63168"/>
    <n v="6.5142875642950515E-2"/>
    <n v="7"/>
    <n v="0"/>
    <n v="246"/>
    <n v="3129"/>
    <n v="232"/>
    <n v="18"/>
    <x v="1"/>
  </r>
  <r>
    <n v="6127"/>
    <s v="user_293"/>
    <s v="P100104"/>
    <x v="0"/>
    <x v="91"/>
    <n v="300972"/>
    <n v="1714"/>
    <n v="27672"/>
    <n v="3983"/>
    <n v="5614"/>
    <n v="42430"/>
    <n v="128592"/>
    <n v="0.1238287947051553"/>
    <n v="8"/>
    <n v="0"/>
    <n v="2603"/>
    <n v="3445"/>
    <n v="145"/>
    <n v="15"/>
    <x v="6"/>
  </r>
  <r>
    <n v="9842"/>
    <s v="user_47"/>
    <s v="P100105"/>
    <x v="1"/>
    <x v="92"/>
    <n v="74918"/>
    <n v="1071"/>
    <n v="10201"/>
    <n v="1445"/>
    <n v="2019"/>
    <n v="17112"/>
    <n v="30294"/>
    <n v="0.1823994233695507"/>
    <n v="25"/>
    <n v="0"/>
    <n v="514"/>
    <n v="1519"/>
    <n v="0"/>
    <n v="18"/>
    <x v="1"/>
  </r>
  <r>
    <n v="1046"/>
    <s v="user_143"/>
    <s v="P100106"/>
    <x v="2"/>
    <x v="93"/>
    <n v="166418"/>
    <n v="630"/>
    <n v="2977"/>
    <n v="179"/>
    <n v="639"/>
    <n v="6696"/>
    <n v="19521"/>
    <n v="2.2804023603215998E-2"/>
    <n v="23"/>
    <n v="35"/>
    <n v="186"/>
    <n v="698"/>
    <n v="44"/>
    <n v="9"/>
    <x v="3"/>
  </r>
  <r>
    <n v="4648"/>
    <s v="user_281"/>
    <s v="P100107"/>
    <x v="1"/>
    <x v="74"/>
    <n v="435161"/>
    <n v="340"/>
    <n v="40078"/>
    <n v="5741"/>
    <n v="11665"/>
    <n v="117124"/>
    <n v="134363"/>
    <n v="0.13209823490616115"/>
    <n v="24"/>
    <n v="0"/>
    <n v="1448"/>
    <n v="18949"/>
    <n v="750"/>
    <n v="18"/>
    <x v="1"/>
  </r>
  <r>
    <n v="1320"/>
    <s v="user_271"/>
    <s v="P100108"/>
    <x v="2"/>
    <x v="94"/>
    <n v="38717"/>
    <n v="1778"/>
    <n v="5783"/>
    <n v="546"/>
    <n v="584"/>
    <n v="26911"/>
    <n v="30519"/>
    <n v="0.17855205723583956"/>
    <n v="25"/>
    <n v="40"/>
    <n v="533"/>
    <n v="5215"/>
    <n v="0"/>
    <n v="22"/>
    <x v="0"/>
  </r>
  <r>
    <n v="3199"/>
    <s v="user_108"/>
    <s v="P100109"/>
    <x v="1"/>
    <x v="44"/>
    <n v="409577"/>
    <n v="401"/>
    <n v="60384"/>
    <n v="6240"/>
    <n v="16924"/>
    <n v="224642"/>
    <n v="138231"/>
    <n v="0.20398606367056743"/>
    <n v="22"/>
    <n v="0"/>
    <n v="5228"/>
    <n v="40084"/>
    <n v="1918"/>
    <n v="23"/>
    <x v="13"/>
  </r>
  <r>
    <n v="6053"/>
    <s v="user_44"/>
    <s v="P100110"/>
    <x v="1"/>
    <x v="95"/>
    <n v="63096"/>
    <n v="1981"/>
    <n v="5314"/>
    <n v="824"/>
    <n v="871"/>
    <n v="9890"/>
    <n v="24719"/>
    <n v="0.11108469633574236"/>
    <n v="7"/>
    <n v="0"/>
    <n v="124"/>
    <n v="1226"/>
    <n v="98"/>
    <n v="19"/>
    <x v="17"/>
  </r>
  <r>
    <n v="5078"/>
    <s v="user_114"/>
    <s v="P100111"/>
    <x v="2"/>
    <x v="96"/>
    <n v="319038"/>
    <n v="1228"/>
    <n v="10723"/>
    <n v="1812"/>
    <n v="1330"/>
    <n v="28212"/>
    <n v="25032"/>
    <n v="4.345877293613927E-2"/>
    <n v="8"/>
    <n v="29"/>
    <n v="1013"/>
    <n v="2276"/>
    <n v="185"/>
    <n v="18"/>
    <x v="1"/>
  </r>
  <r>
    <n v="9202"/>
    <s v="user_200"/>
    <s v="P100112"/>
    <x v="2"/>
    <x v="97"/>
    <n v="57155"/>
    <n v="637"/>
    <n v="383"/>
    <n v="52"/>
    <n v="42"/>
    <n v="1031"/>
    <n v="1801"/>
    <n v="8.345726533111714E-3"/>
    <n v="11"/>
    <n v="24"/>
    <n v="37"/>
    <n v="99"/>
    <n v="2"/>
    <n v="16"/>
    <x v="8"/>
  </r>
  <r>
    <n v="6328"/>
    <s v="user_46"/>
    <s v="P100113"/>
    <x v="1"/>
    <x v="98"/>
    <n v="28443"/>
    <n v="297"/>
    <n v="2740"/>
    <n v="354"/>
    <n v="806"/>
    <n v="9437"/>
    <n v="20232"/>
    <n v="0.13711633793903596"/>
    <n v="10"/>
    <n v="0"/>
    <n v="161"/>
    <n v="472"/>
    <n v="46"/>
    <n v="10"/>
    <x v="12"/>
  </r>
  <r>
    <n v="9522"/>
    <s v="user_125"/>
    <s v="P100114"/>
    <x v="0"/>
    <x v="99"/>
    <n v="91840"/>
    <n v="1955"/>
    <n v="7742"/>
    <n v="1378"/>
    <n v="1110"/>
    <n v="22747"/>
    <n v="37726"/>
    <n v="0.11138937282229965"/>
    <n v="20"/>
    <n v="0"/>
    <n v="372"/>
    <n v="1285"/>
    <n v="0"/>
    <n v="19"/>
    <x v="17"/>
  </r>
  <r>
    <n v="1325"/>
    <s v="user_177"/>
    <s v="P100115"/>
    <x v="0"/>
    <x v="100"/>
    <n v="453670"/>
    <n v="575"/>
    <n v="60324"/>
    <n v="9845"/>
    <n v="3125"/>
    <n v="260462"/>
    <n v="315446"/>
    <n v="0.16155796063217756"/>
    <n v="25"/>
    <n v="0"/>
    <n v="1246"/>
    <n v="35082"/>
    <n v="0"/>
    <n v="10"/>
    <x v="12"/>
  </r>
  <r>
    <n v="8423"/>
    <s v="user_57"/>
    <s v="P100116"/>
    <x v="2"/>
    <x v="101"/>
    <n v="306507"/>
    <n v="340"/>
    <n v="34850"/>
    <n v="6915"/>
    <n v="6086"/>
    <n v="36747"/>
    <n v="86165"/>
    <n v="0.15611715229994746"/>
    <n v="13"/>
    <n v="42"/>
    <n v="1573"/>
    <n v="5652"/>
    <n v="0"/>
    <n v="21"/>
    <x v="7"/>
  </r>
  <r>
    <n v="6637"/>
    <s v="user_233"/>
    <s v="P100117"/>
    <x v="0"/>
    <x v="102"/>
    <n v="389532"/>
    <n v="311"/>
    <n v="952"/>
    <n v="186"/>
    <n v="220"/>
    <n v="1490"/>
    <n v="7367"/>
    <n v="3.4862347637678033E-3"/>
    <n v="5"/>
    <n v="0"/>
    <n v="42"/>
    <n v="137"/>
    <n v="0"/>
    <n v="22"/>
    <x v="0"/>
  </r>
  <r>
    <n v="2221"/>
    <s v="user_90"/>
    <s v="P100118"/>
    <x v="2"/>
    <x v="64"/>
    <n v="137257"/>
    <n v="1736"/>
    <n v="18434"/>
    <n v="2734"/>
    <n v="5062"/>
    <n v="65702"/>
    <n v="125828"/>
    <n v="0.19110136459342694"/>
    <n v="5"/>
    <n v="38"/>
    <n v="1433"/>
    <n v="6502"/>
    <n v="0"/>
    <n v="23"/>
    <x v="13"/>
  </r>
  <r>
    <n v="8855"/>
    <s v="user_182"/>
    <s v="P100119"/>
    <x v="0"/>
    <x v="103"/>
    <n v="343441"/>
    <n v="889"/>
    <n v="29998"/>
    <n v="3946"/>
    <n v="4091"/>
    <n v="68976"/>
    <n v="165672"/>
    <n v="0.11074682405420436"/>
    <n v="16"/>
    <n v="0"/>
    <n v="1647"/>
    <n v="6852"/>
    <n v="0"/>
    <n v="10"/>
    <x v="12"/>
  </r>
  <r>
    <n v="9097"/>
    <s v="user_206"/>
    <s v="P100120"/>
    <x v="0"/>
    <x v="104"/>
    <n v="383935"/>
    <n v="1873"/>
    <n v="21533"/>
    <n v="1311"/>
    <n v="1295"/>
    <n v="91465"/>
    <n v="69786"/>
    <n v="6.2872621667730208E-2"/>
    <n v="3"/>
    <n v="0"/>
    <n v="1713"/>
    <n v="11548"/>
    <n v="754"/>
    <n v="14"/>
    <x v="10"/>
  </r>
  <r>
    <n v="3929"/>
    <s v="user_270"/>
    <s v="P100121"/>
    <x v="1"/>
    <x v="105"/>
    <n v="197551"/>
    <n v="1978"/>
    <n v="7493"/>
    <n v="212"/>
    <n v="980"/>
    <n v="21008"/>
    <n v="45191"/>
    <n v="4.3963330987947413E-2"/>
    <n v="14"/>
    <n v="0"/>
    <n v="389"/>
    <n v="2236"/>
    <n v="155"/>
    <n v="19"/>
    <x v="17"/>
  </r>
  <r>
    <n v="4143"/>
    <s v="user_18"/>
    <s v="P100122"/>
    <x v="2"/>
    <x v="106"/>
    <n v="302006"/>
    <n v="672"/>
    <n v="42086"/>
    <n v="2665"/>
    <n v="12364"/>
    <n v="82857"/>
    <n v="131945"/>
    <n v="0.18911875922994908"/>
    <n v="17"/>
    <n v="3"/>
    <n v="3628"/>
    <n v="4718"/>
    <n v="0"/>
    <n v="9"/>
    <x v="3"/>
  </r>
  <r>
    <n v="4386"/>
    <s v="user_299"/>
    <s v="P100123"/>
    <x v="1"/>
    <x v="107"/>
    <n v="237086"/>
    <n v="1201"/>
    <n v="33320"/>
    <n v="476"/>
    <n v="3875"/>
    <n v="149250"/>
    <n v="73709"/>
    <n v="0.15889171018111573"/>
    <n v="3"/>
    <n v="0"/>
    <n v="2630"/>
    <n v="20884"/>
    <n v="0"/>
    <n v="7"/>
    <x v="4"/>
  </r>
  <r>
    <n v="6236"/>
    <s v="user_29"/>
    <s v="P100124"/>
    <x v="2"/>
    <x v="108"/>
    <n v="110731"/>
    <n v="726"/>
    <n v="5782"/>
    <n v="405"/>
    <n v="617"/>
    <n v="16146"/>
    <n v="26560"/>
    <n v="6.1446207475774624E-2"/>
    <n v="3"/>
    <n v="5"/>
    <n v="463"/>
    <n v="1805"/>
    <n v="80"/>
    <n v="17"/>
    <x v="15"/>
  </r>
  <r>
    <n v="9828"/>
    <s v="user_281"/>
    <s v="P100125"/>
    <x v="2"/>
    <x v="109"/>
    <n v="388690"/>
    <n v="698"/>
    <n v="16058"/>
    <n v="963"/>
    <n v="2393"/>
    <n v="78374"/>
    <n v="47424"/>
    <n v="4.994725874089892E-2"/>
    <n v="3"/>
    <n v="8"/>
    <n v="433"/>
    <n v="8033"/>
    <n v="0"/>
    <n v="21"/>
    <x v="7"/>
  </r>
  <r>
    <n v="7442"/>
    <s v="user_118"/>
    <s v="P100126"/>
    <x v="2"/>
    <x v="110"/>
    <n v="385066"/>
    <n v="1025"/>
    <n v="24882"/>
    <n v="197"/>
    <n v="5729"/>
    <n v="71685"/>
    <n v="137213"/>
    <n v="8.0007063724140792E-2"/>
    <n v="6"/>
    <n v="9"/>
    <n v="995"/>
    <n v="13470"/>
    <n v="0"/>
    <n v="7"/>
    <x v="4"/>
  </r>
  <r>
    <n v="9708"/>
    <s v="user_48"/>
    <s v="P100127"/>
    <x v="0"/>
    <x v="25"/>
    <n v="249080"/>
    <n v="1458"/>
    <n v="33264"/>
    <n v="411"/>
    <n v="4899"/>
    <n v="153661"/>
    <n v="207907"/>
    <n v="0.15486590653605267"/>
    <n v="15"/>
    <n v="0"/>
    <n v="902"/>
    <n v="10875"/>
    <n v="129"/>
    <n v="6"/>
    <x v="2"/>
  </r>
  <r>
    <n v="7119"/>
    <s v="user_42"/>
    <s v="P100128"/>
    <x v="0"/>
    <x v="111"/>
    <n v="74264"/>
    <n v="1608"/>
    <n v="7874"/>
    <n v="771"/>
    <n v="1950"/>
    <n v="34537"/>
    <n v="57814"/>
    <n v="0.14266670257459874"/>
    <n v="19"/>
    <n v="0"/>
    <n v="504"/>
    <n v="4765"/>
    <n v="251"/>
    <n v="23"/>
    <x v="13"/>
  </r>
  <r>
    <n v="9014"/>
    <s v="user_282"/>
    <s v="P100129"/>
    <x v="0"/>
    <x v="64"/>
    <n v="63269"/>
    <n v="381"/>
    <n v="8106"/>
    <n v="1619"/>
    <n v="32"/>
    <n v="25218"/>
    <n v="27131"/>
    <n v="0.1542145442475778"/>
    <n v="7"/>
    <n v="0"/>
    <n v="725"/>
    <n v="1769"/>
    <n v="0"/>
    <n v="21"/>
    <x v="7"/>
  </r>
  <r>
    <n v="6207"/>
    <s v="user_282"/>
    <s v="P100130"/>
    <x v="2"/>
    <x v="42"/>
    <n v="151168"/>
    <n v="1718"/>
    <n v="20757"/>
    <n v="1752"/>
    <n v="2998"/>
    <n v="62430"/>
    <n v="73656"/>
    <n v="0.16873280059271803"/>
    <n v="22"/>
    <n v="35"/>
    <n v="1354"/>
    <n v="3339"/>
    <n v="0"/>
    <n v="20"/>
    <x v="5"/>
  </r>
  <r>
    <n v="3880"/>
    <s v="user_173"/>
    <s v="P100131"/>
    <x v="0"/>
    <x v="2"/>
    <n v="69296"/>
    <n v="1967"/>
    <n v="4732"/>
    <n v="571"/>
    <n v="925"/>
    <n v="10045"/>
    <n v="14757"/>
    <n v="8.9875317478642344E-2"/>
    <n v="8"/>
    <n v="0"/>
    <n v="161"/>
    <n v="1574"/>
    <n v="0"/>
    <n v="7"/>
    <x v="4"/>
  </r>
  <r>
    <n v="2750"/>
    <s v="user_138"/>
    <s v="P100132"/>
    <x v="2"/>
    <x v="112"/>
    <n v="216987"/>
    <n v="932"/>
    <n v="8494"/>
    <n v="1586"/>
    <n v="1140"/>
    <n v="24099"/>
    <n v="55442"/>
    <n v="5.1708166848705224E-2"/>
    <n v="25"/>
    <n v="16"/>
    <n v="571"/>
    <n v="1968"/>
    <n v="0"/>
    <n v="10"/>
    <x v="12"/>
  </r>
  <r>
    <n v="5547"/>
    <s v="user_76"/>
    <s v="P100133"/>
    <x v="1"/>
    <x v="1"/>
    <n v="121161"/>
    <n v="1388"/>
    <n v="11035"/>
    <n v="157"/>
    <n v="2646"/>
    <n v="33742"/>
    <n v="64301"/>
    <n v="0.1142116687713043"/>
    <n v="23"/>
    <n v="0"/>
    <n v="1015"/>
    <n v="4958"/>
    <n v="0"/>
    <n v="7"/>
    <x v="4"/>
  </r>
  <r>
    <n v="7122"/>
    <s v="user_271"/>
    <s v="P100134"/>
    <x v="0"/>
    <x v="113"/>
    <n v="60764"/>
    <n v="1459"/>
    <n v="2513"/>
    <n v="132"/>
    <n v="51"/>
    <n v="10921"/>
    <n v="14103"/>
    <n v="4.4368376012112437E-2"/>
    <n v="8"/>
    <n v="0"/>
    <n v="163"/>
    <n v="1704"/>
    <n v="114"/>
    <n v="9"/>
    <x v="3"/>
  </r>
  <r>
    <n v="6664"/>
    <s v="user_76"/>
    <s v="P100135"/>
    <x v="2"/>
    <x v="114"/>
    <n v="262037"/>
    <n v="1215"/>
    <n v="14043"/>
    <n v="2544"/>
    <n v="4202"/>
    <n v="60783"/>
    <n v="85398"/>
    <n v="7.9336124287791424E-2"/>
    <n v="19"/>
    <n v="11"/>
    <n v="512"/>
    <n v="7699"/>
    <n v="613"/>
    <n v="14"/>
    <x v="10"/>
  </r>
  <r>
    <n v="9685"/>
    <s v="user_68"/>
    <s v="P100136"/>
    <x v="2"/>
    <x v="115"/>
    <n v="240609"/>
    <n v="1983"/>
    <n v="24655"/>
    <n v="2279"/>
    <n v="7035"/>
    <n v="50014"/>
    <n v="65000"/>
    <n v="0.14117925763375436"/>
    <n v="18"/>
    <n v="44"/>
    <n v="837"/>
    <n v="4109"/>
    <n v="0"/>
    <n v="16"/>
    <x v="8"/>
  </r>
  <r>
    <n v="9877"/>
    <s v="user_186"/>
    <s v="P100137"/>
    <x v="0"/>
    <x v="116"/>
    <n v="454048"/>
    <n v="673"/>
    <n v="43094"/>
    <n v="7448"/>
    <n v="7828"/>
    <n v="120489"/>
    <n v="233230"/>
    <n v="0.12855469025301289"/>
    <n v="24"/>
    <n v="0"/>
    <n v="1615"/>
    <n v="10743"/>
    <n v="0"/>
    <n v="20"/>
    <x v="5"/>
  </r>
  <r>
    <n v="6664"/>
    <s v="user_20"/>
    <s v="P100138"/>
    <x v="2"/>
    <x v="117"/>
    <n v="63774"/>
    <n v="1599"/>
    <n v="3117"/>
    <n v="182"/>
    <n v="109"/>
    <n v="7600"/>
    <n v="15824"/>
    <n v="5.343870542854455E-2"/>
    <n v="23"/>
    <n v="21"/>
    <n v="235"/>
    <n v="469"/>
    <n v="0"/>
    <n v="23"/>
    <x v="13"/>
  </r>
  <r>
    <n v="1672"/>
    <s v="user_30"/>
    <s v="P100139"/>
    <x v="1"/>
    <x v="118"/>
    <n v="268215"/>
    <n v="534"/>
    <n v="21199"/>
    <n v="3676"/>
    <n v="2510"/>
    <n v="24167"/>
    <n v="60166"/>
    <n v="0.1021009264955353"/>
    <n v="8"/>
    <n v="0"/>
    <n v="1921"/>
    <n v="4609"/>
    <n v="109"/>
    <n v="18"/>
    <x v="1"/>
  </r>
  <r>
    <n v="9010"/>
    <s v="user_58"/>
    <s v="P100140"/>
    <x v="0"/>
    <x v="119"/>
    <n v="450186"/>
    <n v="1752"/>
    <n v="18325"/>
    <n v="2612"/>
    <n v="5052"/>
    <n v="30585"/>
    <n v="122227"/>
    <n v="5.7729471818315094E-2"/>
    <n v="6"/>
    <n v="0"/>
    <n v="521"/>
    <n v="5683"/>
    <n v="0"/>
    <n v="22"/>
    <x v="0"/>
  </r>
  <r>
    <n v="5149"/>
    <s v="user_92"/>
    <s v="P100141"/>
    <x v="0"/>
    <x v="120"/>
    <n v="320774"/>
    <n v="1556"/>
    <n v="40891"/>
    <n v="3415"/>
    <n v="6336"/>
    <n v="186784"/>
    <n v="133068"/>
    <n v="0.15787439131600442"/>
    <n v="9"/>
    <n v="0"/>
    <n v="2965"/>
    <n v="24962"/>
    <n v="0"/>
    <n v="6"/>
    <x v="2"/>
  </r>
  <r>
    <n v="2569"/>
    <s v="user_257"/>
    <s v="P100142"/>
    <x v="2"/>
    <x v="121"/>
    <n v="479303"/>
    <n v="1007"/>
    <n v="7068"/>
    <n v="925"/>
    <n v="2009"/>
    <n v="25559"/>
    <n v="45448"/>
    <n v="2.0867801787178467E-2"/>
    <n v="3"/>
    <n v="11"/>
    <n v="360"/>
    <n v="4417"/>
    <n v="292"/>
    <n v="16"/>
    <x v="8"/>
  </r>
  <r>
    <n v="2915"/>
    <s v="user_297"/>
    <s v="P100143"/>
    <x v="2"/>
    <x v="122"/>
    <n v="352384"/>
    <n v="1285"/>
    <n v="48411"/>
    <n v="5637"/>
    <n v="6131"/>
    <n v="228697"/>
    <n v="160365"/>
    <n v="0.17077676625499455"/>
    <n v="14"/>
    <n v="15"/>
    <n v="3841"/>
    <n v="28139"/>
    <n v="1086"/>
    <n v="7"/>
    <x v="4"/>
  </r>
  <r>
    <n v="4545"/>
    <s v="user_282"/>
    <s v="P100144"/>
    <x v="2"/>
    <x v="117"/>
    <n v="309888"/>
    <n v="1278"/>
    <n v="18154"/>
    <n v="2504"/>
    <n v="4995"/>
    <n v="55140"/>
    <n v="71903"/>
    <n v="8.2781521065675337E-2"/>
    <n v="18"/>
    <n v="41"/>
    <n v="537"/>
    <n v="7928"/>
    <n v="0"/>
    <n v="9"/>
    <x v="3"/>
  </r>
  <r>
    <n v="1816"/>
    <s v="user_5"/>
    <s v="P100145"/>
    <x v="2"/>
    <x v="123"/>
    <n v="87656"/>
    <n v="110"/>
    <n v="2251"/>
    <n v="423"/>
    <n v="194"/>
    <n v="10304"/>
    <n v="10529"/>
    <n v="3.2718809893218945E-2"/>
    <n v="4"/>
    <n v="27"/>
    <n v="216"/>
    <n v="1810"/>
    <n v="99"/>
    <n v="16"/>
    <x v="8"/>
  </r>
  <r>
    <n v="8919"/>
    <s v="user_291"/>
    <s v="P100146"/>
    <x v="1"/>
    <x v="124"/>
    <n v="306825"/>
    <n v="1671"/>
    <n v="2703"/>
    <n v="508"/>
    <n v="446"/>
    <n v="11057"/>
    <n v="14155"/>
    <n v="1.1918846247861159E-2"/>
    <n v="25"/>
    <n v="0"/>
    <n v="80"/>
    <n v="2030"/>
    <n v="133"/>
    <n v="16"/>
    <x v="8"/>
  </r>
  <r>
    <n v="9131"/>
    <s v="user_176"/>
    <s v="P100147"/>
    <x v="2"/>
    <x v="12"/>
    <n v="16576"/>
    <n v="1910"/>
    <n v="1394"/>
    <n v="11"/>
    <n v="262"/>
    <n v="1972"/>
    <n v="8445"/>
    <n v="0.10056708494208494"/>
    <n v="19"/>
    <n v="16"/>
    <n v="104"/>
    <n v="273"/>
    <n v="0"/>
    <n v="13"/>
    <x v="14"/>
  </r>
  <r>
    <n v="4795"/>
    <s v="user_173"/>
    <s v="P100148"/>
    <x v="1"/>
    <x v="125"/>
    <n v="55249"/>
    <n v="697"/>
    <n v="1999"/>
    <n v="197"/>
    <n v="465"/>
    <n v="6182"/>
    <n v="6029"/>
    <n v="4.8163767670003077E-2"/>
    <n v="20"/>
    <n v="0"/>
    <n v="183"/>
    <n v="575"/>
    <n v="35"/>
    <n v="6"/>
    <x v="2"/>
  </r>
  <r>
    <n v="5805"/>
    <s v="user_147"/>
    <s v="P100149"/>
    <x v="0"/>
    <x v="126"/>
    <n v="289714"/>
    <n v="1614"/>
    <n v="35398"/>
    <n v="2641"/>
    <n v="6468"/>
    <n v="111429"/>
    <n v="188010"/>
    <n v="0.15362391876126111"/>
    <n v="5"/>
    <n v="0"/>
    <n v="1690"/>
    <n v="10232"/>
    <n v="365"/>
    <n v="11"/>
    <x v="16"/>
  </r>
  <r>
    <n v="5791"/>
    <s v="user_272"/>
    <s v="P100150"/>
    <x v="2"/>
    <x v="31"/>
    <n v="110463"/>
    <n v="189"/>
    <n v="6350"/>
    <n v="1208"/>
    <n v="1713"/>
    <n v="26635"/>
    <n v="36817"/>
    <n v="8.392855526284819E-2"/>
    <n v="19"/>
    <n v="25"/>
    <n v="585"/>
    <n v="3965"/>
    <n v="181"/>
    <n v="23"/>
    <x v="13"/>
  </r>
  <r>
    <n v="6473"/>
    <s v="user_138"/>
    <s v="P100151"/>
    <x v="0"/>
    <x v="62"/>
    <n v="147618"/>
    <n v="181"/>
    <n v="16843"/>
    <n v="3269"/>
    <n v="2551"/>
    <n v="26286"/>
    <n v="42346"/>
    <n v="0.15352463791678522"/>
    <n v="15"/>
    <n v="0"/>
    <n v="715"/>
    <n v="4149"/>
    <n v="277"/>
    <n v="7"/>
    <x v="4"/>
  </r>
  <r>
    <n v="8384"/>
    <s v="user_128"/>
    <s v="P100152"/>
    <x v="0"/>
    <x v="127"/>
    <n v="375758"/>
    <n v="182"/>
    <n v="1612"/>
    <n v="318"/>
    <n v="369"/>
    <n v="3766"/>
    <n v="9734"/>
    <n v="6.1182995438553538E-3"/>
    <n v="14"/>
    <n v="0"/>
    <n v="77"/>
    <n v="550"/>
    <n v="0"/>
    <n v="11"/>
    <x v="16"/>
  </r>
  <r>
    <n v="2846"/>
    <s v="user_54"/>
    <s v="P100153"/>
    <x v="2"/>
    <x v="128"/>
    <n v="81907"/>
    <n v="830"/>
    <n v="7781"/>
    <n v="1212"/>
    <n v="210"/>
    <n v="33241"/>
    <n v="34361"/>
    <n v="0.11235913902352668"/>
    <n v="25"/>
    <n v="41"/>
    <n v="319"/>
    <n v="4713"/>
    <n v="0"/>
    <n v="6"/>
    <x v="2"/>
  </r>
  <r>
    <n v="9908"/>
    <s v="user_276"/>
    <s v="P100154"/>
    <x v="1"/>
    <x v="129"/>
    <n v="183943"/>
    <n v="638"/>
    <n v="12466"/>
    <n v="1452"/>
    <n v="855"/>
    <n v="59120"/>
    <n v="36693"/>
    <n v="8.0312923025067554E-2"/>
    <n v="22"/>
    <n v="0"/>
    <n v="430"/>
    <n v="11173"/>
    <n v="708"/>
    <n v="23"/>
    <x v="13"/>
  </r>
  <r>
    <n v="7418"/>
    <s v="user_260"/>
    <s v="P100155"/>
    <x v="0"/>
    <x v="130"/>
    <n v="445851"/>
    <n v="115"/>
    <n v="56901"/>
    <n v="10275"/>
    <n v="1091"/>
    <n v="280583"/>
    <n v="347583"/>
    <n v="0.15311617558332269"/>
    <n v="16"/>
    <n v="0"/>
    <n v="4165"/>
    <n v="15442"/>
    <n v="352"/>
    <n v="20"/>
    <x v="5"/>
  </r>
  <r>
    <n v="3734"/>
    <s v="user_226"/>
    <s v="P100156"/>
    <x v="2"/>
    <x v="131"/>
    <n v="80192"/>
    <n v="1214"/>
    <n v="487"/>
    <n v="66"/>
    <n v="19"/>
    <n v="2026"/>
    <n v="3416"/>
    <n v="7.1328810853950519E-3"/>
    <n v="11"/>
    <n v="3"/>
    <n v="43"/>
    <n v="277"/>
    <n v="0"/>
    <n v="22"/>
    <x v="0"/>
  </r>
  <r>
    <n v="6819"/>
    <s v="user_113"/>
    <s v="P100157"/>
    <x v="0"/>
    <x v="132"/>
    <n v="338430"/>
    <n v="566"/>
    <n v="24365"/>
    <n v="763"/>
    <n v="2504"/>
    <n v="46567"/>
    <n v="172604"/>
    <n v="8.1647608072570405E-2"/>
    <n v="5"/>
    <n v="0"/>
    <n v="2155"/>
    <n v="4793"/>
    <n v="391"/>
    <n v="12"/>
    <x v="9"/>
  </r>
  <r>
    <n v="3020"/>
    <s v="user_48"/>
    <s v="P100158"/>
    <x v="1"/>
    <x v="133"/>
    <n v="80508"/>
    <n v="1576"/>
    <n v="1869"/>
    <n v="282"/>
    <n v="378"/>
    <n v="2904"/>
    <n v="8533"/>
    <n v="3.141302727679237E-2"/>
    <n v="12"/>
    <n v="0"/>
    <n v="83"/>
    <n v="168"/>
    <n v="6"/>
    <n v="8"/>
    <x v="11"/>
  </r>
  <r>
    <n v="3116"/>
    <s v="user_3"/>
    <s v="P100159"/>
    <x v="0"/>
    <x v="134"/>
    <n v="231753"/>
    <n v="199"/>
    <n v="27447"/>
    <n v="4639"/>
    <n v="5202"/>
    <n v="75288"/>
    <n v="182844"/>
    <n v="0.16089543608928472"/>
    <n v="7"/>
    <n v="0"/>
    <n v="1500"/>
    <n v="12041"/>
    <n v="0"/>
    <n v="17"/>
    <x v="15"/>
  </r>
  <r>
    <n v="6752"/>
    <s v="user_71"/>
    <s v="P100160"/>
    <x v="2"/>
    <x v="135"/>
    <n v="201942"/>
    <n v="261"/>
    <n v="19865"/>
    <n v="1198"/>
    <n v="3022"/>
    <n v="21012"/>
    <n v="46468"/>
    <n v="0.11926691822404453"/>
    <n v="25"/>
    <n v="35"/>
    <n v="876"/>
    <n v="3738"/>
    <n v="241"/>
    <n v="6"/>
    <x v="2"/>
  </r>
  <r>
    <n v="2101"/>
    <s v="user_234"/>
    <s v="P100161"/>
    <x v="1"/>
    <x v="46"/>
    <n v="59826"/>
    <n v="1096"/>
    <n v="7859"/>
    <n v="1339"/>
    <n v="598"/>
    <n v="25191"/>
    <n v="20225"/>
    <n v="0.16374151706615853"/>
    <n v="13"/>
    <n v="0"/>
    <n v="231"/>
    <n v="1533"/>
    <n v="1"/>
    <n v="12"/>
    <x v="9"/>
  </r>
  <r>
    <n v="6276"/>
    <s v="user_137"/>
    <s v="P100162"/>
    <x v="0"/>
    <x v="136"/>
    <n v="119852"/>
    <n v="1301"/>
    <n v="176"/>
    <n v="17"/>
    <n v="20"/>
    <n v="855"/>
    <n v="795"/>
    <n v="1.7771918699729667E-3"/>
    <n v="25"/>
    <n v="0"/>
    <n v="16"/>
    <n v="45"/>
    <n v="0"/>
    <n v="7"/>
    <x v="4"/>
  </r>
  <r>
    <n v="4539"/>
    <s v="user_183"/>
    <s v="P100163"/>
    <x v="1"/>
    <x v="137"/>
    <n v="467845"/>
    <n v="1343"/>
    <n v="29182"/>
    <n v="5518"/>
    <n v="4352"/>
    <n v="37597"/>
    <n v="61807"/>
    <n v="8.3472090115315964E-2"/>
    <n v="11"/>
    <n v="0"/>
    <n v="2208"/>
    <n v="2739"/>
    <n v="224"/>
    <n v="20"/>
    <x v="5"/>
  </r>
  <r>
    <n v="6466"/>
    <s v="user_70"/>
    <s v="P100164"/>
    <x v="2"/>
    <x v="138"/>
    <n v="172496"/>
    <n v="440"/>
    <n v="6544"/>
    <n v="897"/>
    <n v="1462"/>
    <n v="10395"/>
    <n v="14680"/>
    <n v="5.161279102124107E-2"/>
    <n v="22"/>
    <n v="24"/>
    <n v="288"/>
    <n v="1346"/>
    <n v="89"/>
    <n v="11"/>
    <x v="16"/>
  </r>
  <r>
    <n v="4364"/>
    <s v="user_91"/>
    <s v="P100165"/>
    <x v="2"/>
    <x v="59"/>
    <n v="346929"/>
    <n v="312"/>
    <n v="22331"/>
    <n v="3092"/>
    <n v="5196"/>
    <n v="100310"/>
    <n v="156908"/>
    <n v="8.8257251483732979E-2"/>
    <n v="14"/>
    <n v="44"/>
    <n v="1009"/>
    <n v="19923"/>
    <n v="969"/>
    <n v="18"/>
    <x v="1"/>
  </r>
  <r>
    <n v="4109"/>
    <s v="user_55"/>
    <s v="P100166"/>
    <x v="0"/>
    <x v="41"/>
    <n v="248796"/>
    <n v="1905"/>
    <n v="9003"/>
    <n v="1730"/>
    <n v="815"/>
    <n v="39961"/>
    <n v="49796"/>
    <n v="4.6415537227286613E-2"/>
    <n v="19"/>
    <n v="0"/>
    <n v="218"/>
    <n v="6677"/>
    <n v="0"/>
    <n v="12"/>
    <x v="9"/>
  </r>
  <r>
    <n v="2038"/>
    <s v="user_292"/>
    <s v="P100167"/>
    <x v="2"/>
    <x v="139"/>
    <n v="350018"/>
    <n v="1061"/>
    <n v="2367"/>
    <n v="52"/>
    <n v="652"/>
    <n v="5751"/>
    <n v="6695"/>
    <n v="8.7738344885120202E-3"/>
    <n v="23"/>
    <n v="20"/>
    <n v="49"/>
    <n v="348"/>
    <n v="27"/>
    <n v="15"/>
    <x v="6"/>
  </r>
  <r>
    <n v="3599"/>
    <s v="user_238"/>
    <s v="P100168"/>
    <x v="2"/>
    <x v="140"/>
    <n v="312861"/>
    <n v="1533"/>
    <n v="43236"/>
    <n v="2162"/>
    <n v="6641"/>
    <n v="196692"/>
    <n v="305763"/>
    <n v="0.16633265251980911"/>
    <n v="6"/>
    <n v="10"/>
    <n v="1941"/>
    <n v="13110"/>
    <n v="845"/>
    <n v="18"/>
    <x v="1"/>
  </r>
  <r>
    <n v="1516"/>
    <s v="user_279"/>
    <s v="P100169"/>
    <x v="0"/>
    <x v="126"/>
    <n v="122899"/>
    <n v="1648"/>
    <n v="9540"/>
    <n v="1818"/>
    <n v="659"/>
    <n v="13307"/>
    <n v="45266"/>
    <n v="9.7779477457098918E-2"/>
    <n v="7"/>
    <n v="0"/>
    <n v="446"/>
    <n v="1668"/>
    <n v="47"/>
    <n v="19"/>
    <x v="17"/>
  </r>
  <r>
    <n v="8650"/>
    <s v="user_182"/>
    <s v="P100170"/>
    <x v="2"/>
    <x v="58"/>
    <n v="247442"/>
    <n v="413"/>
    <n v="10338"/>
    <n v="979"/>
    <n v="3069"/>
    <n v="29816"/>
    <n v="71043"/>
    <n v="5.8138876989355083E-2"/>
    <n v="13"/>
    <n v="9"/>
    <n v="514"/>
    <n v="2026"/>
    <n v="77"/>
    <n v="19"/>
    <x v="17"/>
  </r>
  <r>
    <n v="1840"/>
    <s v="user_115"/>
    <s v="P100171"/>
    <x v="1"/>
    <x v="141"/>
    <n v="440912"/>
    <n v="687"/>
    <n v="9374"/>
    <n v="269"/>
    <n v="1773"/>
    <n v="41758"/>
    <n v="56123"/>
    <n v="2.5891787930471387E-2"/>
    <n v="13"/>
    <n v="0"/>
    <n v="262"/>
    <n v="3596"/>
    <n v="0"/>
    <n v="7"/>
    <x v="4"/>
  </r>
  <r>
    <n v="9167"/>
    <s v="user_265"/>
    <s v="P100172"/>
    <x v="2"/>
    <x v="12"/>
    <n v="464762"/>
    <n v="475"/>
    <n v="40982"/>
    <n v="4187"/>
    <n v="4286"/>
    <n v="42931"/>
    <n v="316780"/>
    <n v="0.10640930196530697"/>
    <n v="22"/>
    <n v="3"/>
    <n v="3024"/>
    <n v="4897"/>
    <n v="0"/>
    <n v="13"/>
    <x v="14"/>
  </r>
  <r>
    <n v="8720"/>
    <s v="user_250"/>
    <s v="P100173"/>
    <x v="2"/>
    <x v="131"/>
    <n v="178680"/>
    <n v="1778"/>
    <n v="6762"/>
    <n v="349"/>
    <n v="122"/>
    <n v="23726"/>
    <n v="21737"/>
    <n v="4.0480188045668233E-2"/>
    <n v="21"/>
    <n v="28"/>
    <n v="465"/>
    <n v="1761"/>
    <n v="28"/>
    <n v="21"/>
    <x v="7"/>
  </r>
  <r>
    <n v="7882"/>
    <s v="user_40"/>
    <s v="P100174"/>
    <x v="2"/>
    <x v="142"/>
    <n v="41323"/>
    <n v="1295"/>
    <n v="4032"/>
    <n v="515"/>
    <n v="895"/>
    <n v="17407"/>
    <n v="23934"/>
    <n v="0.13169421387604965"/>
    <n v="21"/>
    <n v="16"/>
    <n v="260"/>
    <n v="2124"/>
    <n v="55"/>
    <n v="11"/>
    <x v="16"/>
  </r>
  <r>
    <n v="8278"/>
    <s v="user_273"/>
    <s v="P100175"/>
    <x v="2"/>
    <x v="143"/>
    <n v="436141"/>
    <n v="1803"/>
    <n v="26884"/>
    <n v="1441"/>
    <n v="6787"/>
    <n v="43641"/>
    <n v="104826"/>
    <n v="8.0506074870282773E-2"/>
    <n v="18"/>
    <n v="27"/>
    <n v="2125"/>
    <n v="8441"/>
    <n v="825"/>
    <n v="8"/>
    <x v="11"/>
  </r>
  <r>
    <n v="4515"/>
    <s v="user_139"/>
    <s v="P100176"/>
    <x v="2"/>
    <x v="144"/>
    <n v="163812"/>
    <n v="714"/>
    <n v="14302"/>
    <n v="2651"/>
    <n v="2058"/>
    <n v="16208"/>
    <n v="35975"/>
    <n v="0.11605376895465534"/>
    <n v="8"/>
    <n v="33"/>
    <n v="396"/>
    <n v="2891"/>
    <n v="0"/>
    <n v="18"/>
    <x v="1"/>
  </r>
  <r>
    <n v="9002"/>
    <s v="user_104"/>
    <s v="P100177"/>
    <x v="2"/>
    <x v="90"/>
    <n v="332274"/>
    <n v="1209"/>
    <n v="25446"/>
    <n v="3244"/>
    <n v="822"/>
    <n v="80120"/>
    <n v="181762"/>
    <n v="8.8818264444404313E-2"/>
    <n v="13"/>
    <n v="45"/>
    <n v="2542"/>
    <n v="6557"/>
    <n v="0"/>
    <n v="22"/>
    <x v="0"/>
  </r>
  <r>
    <n v="2737"/>
    <s v="user_241"/>
    <s v="P100178"/>
    <x v="1"/>
    <x v="62"/>
    <n v="349544"/>
    <n v="1847"/>
    <n v="11151"/>
    <n v="164"/>
    <n v="2601"/>
    <n v="52051"/>
    <n v="50098"/>
    <n v="3.9811869178129219E-2"/>
    <n v="22"/>
    <n v="0"/>
    <n v="955"/>
    <n v="2680"/>
    <n v="147"/>
    <n v="11"/>
    <x v="16"/>
  </r>
  <r>
    <n v="1898"/>
    <s v="user_198"/>
    <s v="P100179"/>
    <x v="1"/>
    <x v="145"/>
    <n v="378273"/>
    <n v="1595"/>
    <n v="49310"/>
    <n v="1725"/>
    <n v="3171"/>
    <n v="108844"/>
    <n v="326696"/>
    <n v="0.14329862295220647"/>
    <n v="5"/>
    <n v="0"/>
    <n v="2903"/>
    <n v="17525"/>
    <n v="1229"/>
    <n v="20"/>
    <x v="5"/>
  </r>
  <r>
    <n v="1249"/>
    <s v="user_129"/>
    <s v="P100180"/>
    <x v="0"/>
    <x v="29"/>
    <n v="235403"/>
    <n v="1086"/>
    <n v="27180"/>
    <n v="3103"/>
    <n v="5010"/>
    <n v="126432"/>
    <n v="98023"/>
    <n v="0.14992587180282324"/>
    <n v="17"/>
    <n v="0"/>
    <n v="725"/>
    <n v="8114"/>
    <n v="124"/>
    <n v="17"/>
    <x v="15"/>
  </r>
  <r>
    <n v="4166"/>
    <s v="user_114"/>
    <s v="P100181"/>
    <x v="0"/>
    <x v="126"/>
    <n v="24059"/>
    <n v="182"/>
    <n v="865"/>
    <n v="72"/>
    <n v="230"/>
    <n v="1577"/>
    <n v="4248"/>
    <n v="4.8505756681491333E-2"/>
    <n v="6"/>
    <n v="0"/>
    <n v="67"/>
    <n v="315"/>
    <n v="4"/>
    <n v="12"/>
    <x v="9"/>
  </r>
  <r>
    <n v="6793"/>
    <s v="user_4"/>
    <s v="P100182"/>
    <x v="1"/>
    <x v="146"/>
    <n v="326964"/>
    <n v="144"/>
    <n v="17049"/>
    <n v="850"/>
    <n v="2927"/>
    <n v="29951"/>
    <n v="107768"/>
    <n v="6.369508569750798E-2"/>
    <n v="8"/>
    <n v="0"/>
    <n v="1526"/>
    <n v="1800"/>
    <n v="0"/>
    <n v="18"/>
    <x v="1"/>
  </r>
  <r>
    <n v="2879"/>
    <s v="user_136"/>
    <s v="P100183"/>
    <x v="2"/>
    <x v="139"/>
    <n v="57843"/>
    <n v="564"/>
    <n v="271"/>
    <n v="12"/>
    <n v="79"/>
    <n v="1174"/>
    <n v="1679"/>
    <n v="6.2583199349964562E-3"/>
    <n v="9"/>
    <n v="33"/>
    <n v="5"/>
    <n v="203"/>
    <n v="19"/>
    <n v="12"/>
    <x v="9"/>
  </r>
  <r>
    <n v="2709"/>
    <s v="user_75"/>
    <s v="P100184"/>
    <x v="2"/>
    <x v="147"/>
    <n v="361799"/>
    <n v="893"/>
    <n v="44671"/>
    <n v="3692"/>
    <n v="2684"/>
    <n v="178936"/>
    <n v="155057"/>
    <n v="0.14109215337798059"/>
    <n v="6"/>
    <n v="33"/>
    <n v="3164"/>
    <n v="22458"/>
    <n v="1402"/>
    <n v="12"/>
    <x v="9"/>
  </r>
  <r>
    <n v="7253"/>
    <s v="user_71"/>
    <s v="P100185"/>
    <x v="2"/>
    <x v="88"/>
    <n v="494044"/>
    <n v="1508"/>
    <n v="11016"/>
    <n v="1084"/>
    <n v="384"/>
    <n v="25546"/>
    <n v="48884"/>
    <n v="2.5269004380176666E-2"/>
    <n v="6"/>
    <n v="36"/>
    <n v="300"/>
    <n v="2803"/>
    <n v="50"/>
    <n v="13"/>
    <x v="14"/>
  </r>
  <r>
    <n v="5107"/>
    <s v="user_219"/>
    <s v="P100186"/>
    <x v="1"/>
    <x v="148"/>
    <n v="80702"/>
    <n v="1242"/>
    <n v="6534"/>
    <n v="597"/>
    <n v="1689"/>
    <n v="8986"/>
    <n v="38124"/>
    <n v="0.10929097172312954"/>
    <n v="13"/>
    <n v="0"/>
    <n v="592"/>
    <n v="696"/>
    <n v="30"/>
    <n v="17"/>
    <x v="15"/>
  </r>
  <r>
    <n v="6799"/>
    <s v="user_221"/>
    <s v="P100187"/>
    <x v="2"/>
    <x v="149"/>
    <n v="271662"/>
    <n v="466"/>
    <n v="28958"/>
    <n v="1051"/>
    <n v="3581"/>
    <n v="53281"/>
    <n v="105513"/>
    <n v="0.12364629576458983"/>
    <n v="8"/>
    <n v="20"/>
    <n v="2291"/>
    <n v="10147"/>
    <n v="0"/>
    <n v="13"/>
    <x v="14"/>
  </r>
  <r>
    <n v="7654"/>
    <s v="user_137"/>
    <s v="P100188"/>
    <x v="0"/>
    <x v="77"/>
    <n v="28791"/>
    <n v="1767"/>
    <n v="352"/>
    <n v="37"/>
    <n v="93"/>
    <n v="889"/>
    <n v="1574"/>
    <n v="1.6741342780730088E-2"/>
    <n v="17"/>
    <n v="0"/>
    <n v="10"/>
    <n v="129"/>
    <n v="7"/>
    <n v="11"/>
    <x v="16"/>
  </r>
  <r>
    <n v="7365"/>
    <s v="user_277"/>
    <s v="P100189"/>
    <x v="2"/>
    <x v="150"/>
    <n v="447142"/>
    <n v="1525"/>
    <n v="65377"/>
    <n v="10666"/>
    <n v="3880"/>
    <n v="275299"/>
    <n v="421041"/>
    <n v="0.17874187618251025"/>
    <n v="7"/>
    <n v="38"/>
    <n v="4550"/>
    <n v="27905"/>
    <n v="1742"/>
    <n v="21"/>
    <x v="7"/>
  </r>
  <r>
    <n v="3902"/>
    <s v="user_248"/>
    <s v="P100190"/>
    <x v="2"/>
    <x v="151"/>
    <n v="350342"/>
    <n v="1964"/>
    <n v="7868"/>
    <n v="603"/>
    <n v="1772"/>
    <n v="31440"/>
    <n v="55109"/>
    <n v="2.9237145417905931E-2"/>
    <n v="12"/>
    <n v="44"/>
    <n v="465"/>
    <n v="2247"/>
    <n v="166"/>
    <n v="6"/>
    <x v="2"/>
  </r>
  <r>
    <n v="3353"/>
    <s v="user_31"/>
    <s v="P100191"/>
    <x v="0"/>
    <x v="95"/>
    <n v="203335"/>
    <n v="625"/>
    <n v="15709"/>
    <n v="830"/>
    <n v="760"/>
    <n v="75288"/>
    <n v="93614"/>
    <n v="8.5076351833181699E-2"/>
    <n v="15"/>
    <n v="0"/>
    <n v="1530"/>
    <n v="10984"/>
    <n v="1090"/>
    <n v="22"/>
    <x v="0"/>
  </r>
  <r>
    <n v="9294"/>
    <s v="user_30"/>
    <s v="P100192"/>
    <x v="2"/>
    <x v="152"/>
    <n v="340344"/>
    <n v="1819"/>
    <n v="2548"/>
    <n v="412"/>
    <n v="735"/>
    <n v="12116"/>
    <n v="14471"/>
    <n v="1.0856662670709635E-2"/>
    <n v="20"/>
    <n v="11"/>
    <n v="85"/>
    <n v="671"/>
    <n v="12"/>
    <n v="18"/>
    <x v="1"/>
  </r>
  <r>
    <n v="9227"/>
    <s v="user_61"/>
    <s v="P100193"/>
    <x v="2"/>
    <x v="153"/>
    <n v="165870"/>
    <n v="1529"/>
    <n v="16569"/>
    <n v="1458"/>
    <n v="2457"/>
    <n v="25019"/>
    <n v="82470"/>
    <n v="0.12349430276722735"/>
    <n v="15"/>
    <n v="17"/>
    <n v="1542"/>
    <n v="4263"/>
    <n v="355"/>
    <n v="9"/>
    <x v="3"/>
  </r>
  <r>
    <n v="8846"/>
    <s v="user_174"/>
    <s v="P100194"/>
    <x v="0"/>
    <x v="42"/>
    <n v="171520"/>
    <n v="739"/>
    <n v="9457"/>
    <n v="139"/>
    <n v="1230"/>
    <n v="47117"/>
    <n v="33018"/>
    <n v="6.3118003731343283E-2"/>
    <n v="23"/>
    <n v="0"/>
    <n v="695"/>
    <n v="4498"/>
    <n v="299"/>
    <n v="12"/>
    <x v="9"/>
  </r>
  <r>
    <n v="1349"/>
    <s v="user_130"/>
    <s v="P100195"/>
    <x v="1"/>
    <x v="154"/>
    <n v="488161"/>
    <n v="114"/>
    <n v="39971"/>
    <n v="5568"/>
    <n v="4315"/>
    <n v="61609"/>
    <n v="242253"/>
    <n v="0.10212614280944196"/>
    <n v="20"/>
    <n v="0"/>
    <n v="1002"/>
    <n v="12316"/>
    <n v="843"/>
    <n v="13"/>
    <x v="14"/>
  </r>
  <r>
    <n v="1922"/>
    <s v="user_59"/>
    <s v="P100196"/>
    <x v="0"/>
    <x v="155"/>
    <n v="83990"/>
    <n v="1343"/>
    <n v="8523"/>
    <n v="467"/>
    <n v="2262"/>
    <n v="13695"/>
    <n v="52839"/>
    <n v="0.13396832956304322"/>
    <n v="25"/>
    <n v="0"/>
    <n v="518"/>
    <n v="1679"/>
    <n v="141"/>
    <n v="10"/>
    <x v="12"/>
  </r>
  <r>
    <n v="4827"/>
    <s v="user_245"/>
    <s v="P100197"/>
    <x v="2"/>
    <x v="156"/>
    <n v="289888"/>
    <n v="328"/>
    <n v="37633"/>
    <n v="5372"/>
    <n v="5482"/>
    <n v="136705"/>
    <n v="197333"/>
    <n v="0.16726114913345844"/>
    <n v="5"/>
    <n v="16"/>
    <n v="3513"/>
    <n v="20504"/>
    <n v="1463"/>
    <n v="23"/>
    <x v="13"/>
  </r>
  <r>
    <n v="2016"/>
    <s v="user_72"/>
    <s v="P100198"/>
    <x v="1"/>
    <x v="99"/>
    <n v="303426"/>
    <n v="1481"/>
    <n v="29708"/>
    <n v="3735"/>
    <n v="8632"/>
    <n v="118993"/>
    <n v="60896"/>
    <n v="0.13866642937652013"/>
    <n v="12"/>
    <n v="0"/>
    <n v="2899"/>
    <n v="9091"/>
    <n v="0"/>
    <n v="22"/>
    <x v="0"/>
  </r>
  <r>
    <n v="3305"/>
    <s v="user_64"/>
    <s v="P100199"/>
    <x v="2"/>
    <x v="73"/>
    <n v="437070"/>
    <n v="318"/>
    <n v="45412"/>
    <n v="2656"/>
    <n v="5727"/>
    <n v="99102"/>
    <n v="113192"/>
    <n v="0.12308097101150846"/>
    <n v="17"/>
    <n v="41"/>
    <n v="1381"/>
    <n v="15950"/>
    <n v="848"/>
    <n v="18"/>
    <x v="1"/>
  </r>
  <r>
    <n v="9577"/>
    <s v="user_129"/>
    <s v="P100200"/>
    <x v="0"/>
    <x v="157"/>
    <n v="80198"/>
    <n v="661"/>
    <n v="5252"/>
    <n v="844"/>
    <n v="175"/>
    <n v="24867"/>
    <n v="17363"/>
    <n v="7.8193969924437015E-2"/>
    <n v="16"/>
    <n v="0"/>
    <n v="403"/>
    <n v="4735"/>
    <n v="0"/>
    <n v="15"/>
    <x v="6"/>
  </r>
  <r>
    <n v="9011"/>
    <s v="user_73"/>
    <s v="P100201"/>
    <x v="2"/>
    <x v="53"/>
    <n v="49044"/>
    <n v="1474"/>
    <n v="2829"/>
    <n v="147"/>
    <n v="454"/>
    <n v="6703"/>
    <n v="13236"/>
    <n v="6.9937199249653373E-2"/>
    <n v="19"/>
    <n v="18"/>
    <n v="259"/>
    <n v="991"/>
    <n v="3"/>
    <n v="23"/>
    <x v="13"/>
  </r>
  <r>
    <n v="1433"/>
    <s v="user_264"/>
    <s v="P100202"/>
    <x v="0"/>
    <x v="158"/>
    <n v="62432"/>
    <n v="304"/>
    <n v="6300"/>
    <n v="44"/>
    <n v="1634"/>
    <n v="7647"/>
    <n v="42330"/>
    <n v="0.12778703229113275"/>
    <n v="12"/>
    <n v="0"/>
    <n v="480"/>
    <n v="927"/>
    <n v="13"/>
    <n v="8"/>
    <x v="11"/>
  </r>
  <r>
    <n v="2861"/>
    <s v="user_37"/>
    <s v="P100203"/>
    <x v="0"/>
    <x v="159"/>
    <n v="328306"/>
    <n v="292"/>
    <n v="43215"/>
    <n v="397"/>
    <n v="1206"/>
    <n v="140448"/>
    <n v="243438"/>
    <n v="0.13651288736727321"/>
    <n v="15"/>
    <n v="0"/>
    <n v="3570"/>
    <n v="23289"/>
    <n v="831"/>
    <n v="10"/>
    <x v="12"/>
  </r>
  <r>
    <n v="6546"/>
    <s v="user_100"/>
    <s v="P100204"/>
    <x v="0"/>
    <x v="160"/>
    <n v="310028"/>
    <n v="1592"/>
    <n v="3668"/>
    <n v="74"/>
    <n v="339"/>
    <n v="4889"/>
    <n v="15575"/>
    <n v="1.316332718335118E-2"/>
    <n v="3"/>
    <n v="0"/>
    <n v="210"/>
    <n v="452"/>
    <n v="11"/>
    <n v="21"/>
    <x v="7"/>
  </r>
  <r>
    <n v="5889"/>
    <s v="user_105"/>
    <s v="P100205"/>
    <x v="1"/>
    <x v="155"/>
    <n v="339295"/>
    <n v="1232"/>
    <n v="2868"/>
    <n v="47"/>
    <n v="485"/>
    <n v="7821"/>
    <n v="10539"/>
    <n v="1.0020778378697004E-2"/>
    <n v="9"/>
    <n v="0"/>
    <n v="145"/>
    <n v="1186"/>
    <n v="16"/>
    <n v="9"/>
    <x v="3"/>
  </r>
  <r>
    <n v="5437"/>
    <s v="user_111"/>
    <s v="P100206"/>
    <x v="0"/>
    <x v="149"/>
    <n v="121908"/>
    <n v="130"/>
    <n v="12749"/>
    <n v="399"/>
    <n v="2979"/>
    <n v="29314"/>
    <n v="72273"/>
    <n v="0.13228828296748368"/>
    <n v="15"/>
    <n v="0"/>
    <n v="894"/>
    <n v="3074"/>
    <n v="0"/>
    <n v="22"/>
    <x v="0"/>
  </r>
  <r>
    <n v="4123"/>
    <s v="user_229"/>
    <s v="P100207"/>
    <x v="2"/>
    <x v="161"/>
    <n v="179638"/>
    <n v="1922"/>
    <n v="2191"/>
    <n v="390"/>
    <n v="515"/>
    <n v="10594"/>
    <n v="7786"/>
    <n v="1.7234660817867044E-2"/>
    <n v="9"/>
    <n v="21"/>
    <n v="73"/>
    <n v="1617"/>
    <n v="7"/>
    <n v="23"/>
    <x v="13"/>
  </r>
  <r>
    <n v="4564"/>
    <s v="user_299"/>
    <s v="P100208"/>
    <x v="0"/>
    <x v="162"/>
    <n v="165282"/>
    <n v="1579"/>
    <n v="7269"/>
    <n v="742"/>
    <n v="128"/>
    <n v="14084"/>
    <n v="44320"/>
    <n v="4.9243111772606818E-2"/>
    <n v="20"/>
    <n v="0"/>
    <n v="163"/>
    <n v="1885"/>
    <n v="0"/>
    <n v="12"/>
    <x v="9"/>
  </r>
  <r>
    <n v="3688"/>
    <s v="user_240"/>
    <s v="P100209"/>
    <x v="1"/>
    <x v="163"/>
    <n v="37118"/>
    <n v="1185"/>
    <n v="1054"/>
    <n v="86"/>
    <n v="221"/>
    <n v="3699"/>
    <n v="7511"/>
    <n v="3.6666846274044936E-2"/>
    <n v="18"/>
    <n v="0"/>
    <n v="33"/>
    <n v="661"/>
    <n v="29"/>
    <n v="10"/>
    <x v="12"/>
  </r>
  <r>
    <n v="1986"/>
    <s v="user_94"/>
    <s v="P100210"/>
    <x v="2"/>
    <x v="164"/>
    <n v="385523"/>
    <n v="1724"/>
    <n v="25408"/>
    <n v="3036"/>
    <n v="3778"/>
    <n v="28690"/>
    <n v="161632"/>
    <n v="8.3579967991533582E-2"/>
    <n v="13"/>
    <n v="8"/>
    <n v="1267"/>
    <n v="4873"/>
    <n v="438"/>
    <n v="8"/>
    <x v="11"/>
  </r>
  <r>
    <n v="3457"/>
    <s v="user_269"/>
    <s v="P100211"/>
    <x v="1"/>
    <x v="165"/>
    <n v="390158"/>
    <n v="195"/>
    <n v="2288"/>
    <n v="428"/>
    <n v="314"/>
    <n v="10449"/>
    <n v="12235"/>
    <n v="7.7660845093526212E-3"/>
    <n v="3"/>
    <n v="0"/>
    <n v="217"/>
    <n v="1735"/>
    <n v="0"/>
    <n v="14"/>
    <x v="10"/>
  </r>
  <r>
    <n v="7341"/>
    <s v="user_257"/>
    <s v="P100212"/>
    <x v="1"/>
    <x v="166"/>
    <n v="484550"/>
    <n v="783"/>
    <n v="67739"/>
    <n v="3845"/>
    <n v="2305"/>
    <n v="306532"/>
    <n v="156900"/>
    <n v="0.15248993911876998"/>
    <n v="12"/>
    <n v="0"/>
    <n v="2503"/>
    <n v="17292"/>
    <n v="0"/>
    <n v="10"/>
    <x v="12"/>
  </r>
  <r>
    <n v="9127"/>
    <s v="user_55"/>
    <s v="P100213"/>
    <x v="1"/>
    <x v="167"/>
    <n v="486639"/>
    <n v="1771"/>
    <n v="9677"/>
    <n v="1705"/>
    <n v="1847"/>
    <n v="15885"/>
    <n v="67968"/>
    <n v="2.7184422128107281E-2"/>
    <n v="6"/>
    <n v="0"/>
    <n v="266"/>
    <n v="2447"/>
    <n v="169"/>
    <n v="23"/>
    <x v="13"/>
  </r>
  <r>
    <n v="5686"/>
    <s v="user_29"/>
    <s v="P100214"/>
    <x v="2"/>
    <x v="168"/>
    <n v="191384"/>
    <n v="1503"/>
    <n v="2314"/>
    <n v="48"/>
    <n v="46"/>
    <n v="4472"/>
    <n v="11022"/>
    <n v="1.258203402583288E-2"/>
    <n v="25"/>
    <n v="33"/>
    <n v="107"/>
    <n v="756"/>
    <n v="0"/>
    <n v="15"/>
    <x v="6"/>
  </r>
  <r>
    <n v="6046"/>
    <s v="user_272"/>
    <s v="P100215"/>
    <x v="1"/>
    <x v="32"/>
    <n v="157527"/>
    <n v="255"/>
    <n v="23561"/>
    <n v="4647"/>
    <n v="983"/>
    <n v="106101"/>
    <n v="68789"/>
    <n v="0.18530791546845937"/>
    <n v="14"/>
    <n v="0"/>
    <n v="1032"/>
    <n v="5757"/>
    <n v="0"/>
    <n v="20"/>
    <x v="5"/>
  </r>
  <r>
    <n v="9620"/>
    <s v="user_194"/>
    <s v="P100216"/>
    <x v="1"/>
    <x v="169"/>
    <n v="385918"/>
    <n v="1325"/>
    <n v="51316"/>
    <n v="6102"/>
    <n v="10995"/>
    <n v="218404"/>
    <n v="125190"/>
    <n v="0.17727341041361119"/>
    <n v="4"/>
    <n v="0"/>
    <n v="1378"/>
    <n v="37016"/>
    <n v="0"/>
    <n v="14"/>
    <x v="10"/>
  </r>
  <r>
    <n v="6311"/>
    <s v="user_54"/>
    <s v="P100217"/>
    <x v="1"/>
    <x v="170"/>
    <n v="399966"/>
    <n v="1441"/>
    <n v="7606"/>
    <n v="707"/>
    <n v="948"/>
    <n v="16291"/>
    <n v="20268"/>
    <n v="2.3154468129791033E-2"/>
    <n v="11"/>
    <n v="0"/>
    <n v="257"/>
    <n v="919"/>
    <n v="0"/>
    <n v="6"/>
    <x v="2"/>
  </r>
  <r>
    <n v="6833"/>
    <s v="user_153"/>
    <s v="P100218"/>
    <x v="0"/>
    <x v="171"/>
    <n v="93415"/>
    <n v="610"/>
    <n v="13500"/>
    <n v="2242"/>
    <n v="1074"/>
    <n v="32508"/>
    <n v="102604"/>
    <n v="0.18001391639458331"/>
    <n v="5"/>
    <n v="0"/>
    <n v="844"/>
    <n v="4876"/>
    <n v="0"/>
    <n v="16"/>
    <x v="8"/>
  </r>
  <r>
    <n v="8411"/>
    <s v="user_160"/>
    <s v="P100219"/>
    <x v="2"/>
    <x v="157"/>
    <n v="244753"/>
    <n v="623"/>
    <n v="23562"/>
    <n v="3235"/>
    <n v="2070"/>
    <n v="91610"/>
    <n v="95629"/>
    <n v="0.11794339599514612"/>
    <n v="14"/>
    <n v="40"/>
    <n v="2325"/>
    <n v="7020"/>
    <n v="0"/>
    <n v="15"/>
    <x v="6"/>
  </r>
  <r>
    <n v="9441"/>
    <s v="user_66"/>
    <s v="P100220"/>
    <x v="2"/>
    <x v="93"/>
    <n v="433591"/>
    <n v="1208"/>
    <n v="59767"/>
    <n v="6778"/>
    <n v="16954"/>
    <n v="216567"/>
    <n v="358284"/>
    <n v="0.19257549164996507"/>
    <n v="19"/>
    <n v="36"/>
    <n v="1386"/>
    <n v="15550"/>
    <n v="851"/>
    <n v="10"/>
    <x v="12"/>
  </r>
  <r>
    <n v="1795"/>
    <s v="user_28"/>
    <s v="P100221"/>
    <x v="2"/>
    <x v="172"/>
    <n v="235722"/>
    <n v="575"/>
    <n v="8046"/>
    <n v="805"/>
    <n v="1229"/>
    <n v="11725"/>
    <n v="50764"/>
    <n v="4.2762236872247818E-2"/>
    <n v="7"/>
    <n v="7"/>
    <n v="397"/>
    <n v="1267"/>
    <n v="0"/>
    <n v="15"/>
    <x v="6"/>
  </r>
  <r>
    <n v="8734"/>
    <s v="user_36"/>
    <s v="P100222"/>
    <x v="2"/>
    <x v="54"/>
    <n v="493621"/>
    <n v="582"/>
    <n v="56610"/>
    <n v="11228"/>
    <n v="4617"/>
    <n v="124542"/>
    <n v="400737"/>
    <n v="0.14678265308809796"/>
    <n v="5"/>
    <n v="3"/>
    <n v="3255"/>
    <n v="16811"/>
    <n v="617"/>
    <n v="22"/>
    <x v="0"/>
  </r>
  <r>
    <n v="7328"/>
    <s v="user_232"/>
    <s v="P100223"/>
    <x v="1"/>
    <x v="173"/>
    <n v="248199"/>
    <n v="1408"/>
    <n v="36198"/>
    <n v="7198"/>
    <n v="959"/>
    <n v="85268"/>
    <n v="138491"/>
    <n v="0.17870740816844549"/>
    <n v="16"/>
    <n v="0"/>
    <n v="2412"/>
    <n v="9242"/>
    <n v="0"/>
    <n v="9"/>
    <x v="3"/>
  </r>
  <r>
    <n v="5478"/>
    <s v="user_216"/>
    <s v="P100224"/>
    <x v="0"/>
    <x v="64"/>
    <n v="262318"/>
    <n v="782"/>
    <n v="14018"/>
    <n v="2255"/>
    <n v="2209"/>
    <n v="62351"/>
    <n v="50491"/>
    <n v="7.0456468866032837E-2"/>
    <n v="19"/>
    <n v="0"/>
    <n v="734"/>
    <n v="9716"/>
    <n v="340"/>
    <n v="12"/>
    <x v="9"/>
  </r>
  <r>
    <n v="9982"/>
    <s v="user_17"/>
    <s v="P100225"/>
    <x v="2"/>
    <x v="174"/>
    <n v="450383"/>
    <n v="119"/>
    <n v="43450"/>
    <n v="1312"/>
    <n v="1393"/>
    <n v="203576"/>
    <n v="111772"/>
    <n v="0.10247944527213505"/>
    <n v="10"/>
    <n v="25"/>
    <n v="1252"/>
    <n v="17771"/>
    <n v="232"/>
    <n v="22"/>
    <x v="0"/>
  </r>
  <r>
    <n v="2921"/>
    <s v="user_131"/>
    <s v="P100226"/>
    <x v="1"/>
    <x v="175"/>
    <n v="101672"/>
    <n v="212"/>
    <n v="4763"/>
    <n v="712"/>
    <n v="276"/>
    <n v="9650"/>
    <n v="19405"/>
    <n v="5.6564245810055869E-2"/>
    <n v="5"/>
    <n v="0"/>
    <n v="350"/>
    <n v="1568"/>
    <n v="0"/>
    <n v="19"/>
    <x v="17"/>
  </r>
  <r>
    <n v="5720"/>
    <s v="user_175"/>
    <s v="P100227"/>
    <x v="1"/>
    <x v="141"/>
    <n v="385909"/>
    <n v="335"/>
    <n v="38642"/>
    <n v="7385"/>
    <n v="9603"/>
    <n v="46295"/>
    <n v="271677"/>
    <n v="0.14415315527753952"/>
    <n v="5"/>
    <n v="0"/>
    <n v="3791"/>
    <n v="5577"/>
    <n v="0"/>
    <n v="11"/>
    <x v="16"/>
  </r>
  <r>
    <n v="2906"/>
    <s v="user_155"/>
    <s v="P100228"/>
    <x v="1"/>
    <x v="63"/>
    <n v="482517"/>
    <n v="804"/>
    <n v="10488"/>
    <n v="741"/>
    <n v="2397"/>
    <n v="32585"/>
    <n v="49974"/>
    <n v="2.823941954376737E-2"/>
    <n v="13"/>
    <n v="0"/>
    <n v="367"/>
    <n v="5221"/>
    <n v="411"/>
    <n v="8"/>
    <x v="11"/>
  </r>
  <r>
    <n v="8125"/>
    <s v="user_292"/>
    <s v="P100229"/>
    <x v="1"/>
    <x v="176"/>
    <n v="355712"/>
    <n v="1909"/>
    <n v="16558"/>
    <n v="907"/>
    <n v="176"/>
    <n v="61811"/>
    <n v="105047"/>
    <n v="4.9593491363799931E-2"/>
    <n v="23"/>
    <n v="0"/>
    <n v="662"/>
    <n v="5703"/>
    <n v="364"/>
    <n v="7"/>
    <x v="4"/>
  </r>
  <r>
    <n v="6494"/>
    <s v="user_262"/>
    <s v="P100230"/>
    <x v="0"/>
    <x v="177"/>
    <n v="364957"/>
    <n v="1246"/>
    <n v="37574"/>
    <n v="5206"/>
    <n v="921"/>
    <n v="150710"/>
    <n v="274679"/>
    <n v="0.11974287381801144"/>
    <n v="14"/>
    <n v="0"/>
    <n v="1102"/>
    <n v="26611"/>
    <n v="0"/>
    <n v="22"/>
    <x v="0"/>
  </r>
  <r>
    <n v="2941"/>
    <s v="user_158"/>
    <s v="P100231"/>
    <x v="1"/>
    <x v="103"/>
    <n v="209476"/>
    <n v="1429"/>
    <n v="27191"/>
    <n v="4434"/>
    <n v="1255"/>
    <n v="109625"/>
    <n v="80730"/>
    <n v="0.15696308885027402"/>
    <n v="6"/>
    <n v="0"/>
    <n v="880"/>
    <n v="9627"/>
    <n v="0"/>
    <n v="21"/>
    <x v="7"/>
  </r>
  <r>
    <n v="9055"/>
    <s v="user_124"/>
    <s v="P100232"/>
    <x v="2"/>
    <x v="142"/>
    <n v="10288"/>
    <n v="182"/>
    <n v="948"/>
    <n v="108"/>
    <n v="99"/>
    <n v="4684"/>
    <n v="5902"/>
    <n v="0.11226671850699844"/>
    <n v="25"/>
    <n v="3"/>
    <n v="41"/>
    <n v="289"/>
    <n v="0"/>
    <n v="6"/>
    <x v="2"/>
  </r>
  <r>
    <n v="4287"/>
    <s v="user_153"/>
    <s v="P100233"/>
    <x v="0"/>
    <x v="178"/>
    <n v="47039"/>
    <n v="525"/>
    <n v="5946"/>
    <n v="160"/>
    <n v="1005"/>
    <n v="26419"/>
    <n v="13353"/>
    <n v="0.15117243138672165"/>
    <n v="3"/>
    <n v="0"/>
    <n v="446"/>
    <n v="1923"/>
    <n v="0"/>
    <n v="7"/>
    <x v="4"/>
  </r>
  <r>
    <n v="8510"/>
    <s v="user_59"/>
    <s v="P100234"/>
    <x v="0"/>
    <x v="65"/>
    <n v="397482"/>
    <n v="957"/>
    <n v="35716"/>
    <n v="4877"/>
    <n v="4711"/>
    <n v="149942"/>
    <n v="118719"/>
    <n v="0.11397748828877785"/>
    <n v="25"/>
    <n v="0"/>
    <n v="1334"/>
    <n v="13453"/>
    <n v="0"/>
    <n v="7"/>
    <x v="4"/>
  </r>
  <r>
    <n v="7018"/>
    <s v="user_53"/>
    <s v="P100235"/>
    <x v="0"/>
    <x v="175"/>
    <n v="41027"/>
    <n v="275"/>
    <n v="5134"/>
    <n v="12"/>
    <n v="99"/>
    <n v="18335"/>
    <n v="24735"/>
    <n v="0.12784264021254296"/>
    <n v="14"/>
    <n v="0"/>
    <n v="360"/>
    <n v="1238"/>
    <n v="0"/>
    <n v="19"/>
    <x v="17"/>
  </r>
  <r>
    <n v="9818"/>
    <s v="user_98"/>
    <s v="P100236"/>
    <x v="0"/>
    <x v="124"/>
    <n v="431878"/>
    <n v="1376"/>
    <n v="50477"/>
    <n v="5322"/>
    <n v="3707"/>
    <n v="182261"/>
    <n v="213617"/>
    <n v="0.13778428167213888"/>
    <n v="19"/>
    <n v="0"/>
    <n v="1881"/>
    <n v="28488"/>
    <n v="0"/>
    <n v="8"/>
    <x v="11"/>
  </r>
  <r>
    <n v="6900"/>
    <s v="user_27"/>
    <s v="P100237"/>
    <x v="0"/>
    <x v="179"/>
    <n v="343803"/>
    <n v="1644"/>
    <n v="38784"/>
    <n v="6086"/>
    <n v="5937"/>
    <n v="192402"/>
    <n v="187845"/>
    <n v="0.14777939692207456"/>
    <n v="25"/>
    <n v="0"/>
    <n v="1607"/>
    <n v="26148"/>
    <n v="655"/>
    <n v="6"/>
    <x v="2"/>
  </r>
  <r>
    <n v="7803"/>
    <s v="user_143"/>
    <s v="P100238"/>
    <x v="1"/>
    <x v="102"/>
    <n v="153389"/>
    <n v="1447"/>
    <n v="21476"/>
    <n v="352"/>
    <n v="1940"/>
    <n v="79639"/>
    <n v="43098"/>
    <n v="0.15495244117896328"/>
    <n v="23"/>
    <n v="0"/>
    <n v="1419"/>
    <n v="10892"/>
    <n v="344"/>
    <n v="18"/>
    <x v="1"/>
  </r>
  <r>
    <n v="9188"/>
    <s v="user_261"/>
    <s v="P100239"/>
    <x v="2"/>
    <x v="95"/>
    <n v="174356"/>
    <n v="706"/>
    <n v="16965"/>
    <n v="1120"/>
    <n v="2661"/>
    <n v="66201"/>
    <n v="87348"/>
    <n v="0.11898644153341439"/>
    <n v="19"/>
    <n v="28"/>
    <n v="427"/>
    <n v="12159"/>
    <n v="0"/>
    <n v="8"/>
    <x v="11"/>
  </r>
  <r>
    <n v="8548"/>
    <s v="user_202"/>
    <s v="P100240"/>
    <x v="2"/>
    <x v="29"/>
    <n v="459811"/>
    <n v="1410"/>
    <n v="18738"/>
    <n v="740"/>
    <n v="4154"/>
    <n v="26951"/>
    <n v="117418"/>
    <n v="5.1395029696984194E-2"/>
    <n v="3"/>
    <n v="32"/>
    <n v="463"/>
    <n v="4462"/>
    <n v="404"/>
    <n v="23"/>
    <x v="13"/>
  </r>
  <r>
    <n v="8179"/>
    <s v="user_212"/>
    <s v="P100241"/>
    <x v="0"/>
    <x v="180"/>
    <n v="72071"/>
    <n v="1415"/>
    <n v="222"/>
    <n v="40"/>
    <n v="52"/>
    <n v="334"/>
    <n v="831"/>
    <n v="4.3568148076202637E-3"/>
    <n v="5"/>
    <n v="0"/>
    <n v="11"/>
    <n v="32"/>
    <n v="1"/>
    <n v="17"/>
    <x v="15"/>
  </r>
  <r>
    <n v="3756"/>
    <s v="user_299"/>
    <s v="P100242"/>
    <x v="2"/>
    <x v="113"/>
    <n v="13412"/>
    <n v="1469"/>
    <n v="318"/>
    <n v="34"/>
    <n v="74"/>
    <n v="1226"/>
    <n v="1239"/>
    <n v="3.1762600656128841E-2"/>
    <n v="7"/>
    <n v="15"/>
    <n v="11"/>
    <n v="197"/>
    <n v="2"/>
    <n v="12"/>
    <x v="9"/>
  </r>
  <r>
    <n v="4457"/>
    <s v="user_131"/>
    <s v="P100243"/>
    <x v="0"/>
    <x v="181"/>
    <n v="77660"/>
    <n v="436"/>
    <n v="7039"/>
    <n v="1001"/>
    <n v="939"/>
    <n v="7236"/>
    <n v="47147"/>
    <n v="0.11561936646922483"/>
    <n v="24"/>
    <n v="0"/>
    <n v="337"/>
    <n v="1379"/>
    <n v="95"/>
    <n v="11"/>
    <x v="16"/>
  </r>
  <r>
    <n v="3372"/>
    <s v="user_88"/>
    <s v="P100244"/>
    <x v="2"/>
    <x v="182"/>
    <n v="445032"/>
    <n v="1417"/>
    <n v="61929"/>
    <n v="9404"/>
    <n v="5462"/>
    <n v="141578"/>
    <n v="313166"/>
    <n v="0.17256062485394308"/>
    <n v="10"/>
    <n v="4"/>
    <n v="5844"/>
    <n v="13818"/>
    <n v="0"/>
    <n v="17"/>
    <x v="15"/>
  </r>
  <r>
    <n v="1553"/>
    <s v="user_263"/>
    <s v="P100245"/>
    <x v="0"/>
    <x v="6"/>
    <n v="423686"/>
    <n v="666"/>
    <n v="61714"/>
    <n v="4980"/>
    <n v="2628"/>
    <n v="115749"/>
    <n v="225245"/>
    <n v="0.1636164518062905"/>
    <n v="7"/>
    <n v="0"/>
    <n v="4544"/>
    <n v="14575"/>
    <n v="0"/>
    <n v="7"/>
    <x v="4"/>
  </r>
  <r>
    <n v="8980"/>
    <s v="user_131"/>
    <s v="P100246"/>
    <x v="0"/>
    <x v="171"/>
    <n v="270429"/>
    <n v="1344"/>
    <n v="29817"/>
    <n v="2045"/>
    <n v="346"/>
    <n v="85472"/>
    <n v="89988"/>
    <n v="0.11909965277392587"/>
    <n v="12"/>
    <n v="0"/>
    <n v="914"/>
    <n v="5949"/>
    <n v="0"/>
    <n v="17"/>
    <x v="15"/>
  </r>
  <r>
    <n v="1464"/>
    <s v="user_284"/>
    <s v="P100247"/>
    <x v="1"/>
    <x v="182"/>
    <n v="430055"/>
    <n v="1188"/>
    <n v="8376"/>
    <n v="1073"/>
    <n v="2314"/>
    <n v="20940"/>
    <n v="63505"/>
    <n v="2.7352315401518411E-2"/>
    <n v="13"/>
    <n v="0"/>
    <n v="309"/>
    <n v="2790"/>
    <n v="30"/>
    <n v="18"/>
    <x v="1"/>
  </r>
  <r>
    <n v="5688"/>
    <s v="user_261"/>
    <s v="P100248"/>
    <x v="2"/>
    <x v="183"/>
    <n v="324676"/>
    <n v="1291"/>
    <n v="16771"/>
    <n v="2133"/>
    <n v="1489"/>
    <n v="61720"/>
    <n v="125738"/>
    <n v="6.2810309354556546E-2"/>
    <n v="5"/>
    <n v="27"/>
    <n v="867"/>
    <n v="9149"/>
    <n v="587"/>
    <n v="19"/>
    <x v="17"/>
  </r>
  <r>
    <n v="4295"/>
    <s v="user_271"/>
    <s v="P100249"/>
    <x v="0"/>
    <x v="145"/>
    <n v="405882"/>
    <n v="938"/>
    <n v="45186"/>
    <n v="8177"/>
    <n v="9874"/>
    <n v="59071"/>
    <n v="312487"/>
    <n v="0.15580143982733899"/>
    <n v="7"/>
    <n v="0"/>
    <n v="3551"/>
    <n v="7337"/>
    <n v="282"/>
    <n v="21"/>
    <x v="7"/>
  </r>
  <r>
    <n v="6575"/>
    <s v="user_298"/>
    <s v="P100250"/>
    <x v="2"/>
    <x v="184"/>
    <n v="234480"/>
    <n v="1929"/>
    <n v="26873"/>
    <n v="3301"/>
    <n v="1822"/>
    <n v="26880"/>
    <n v="82606"/>
    <n v="0.13645513476629137"/>
    <n v="11"/>
    <n v="16"/>
    <n v="2401"/>
    <n v="5178"/>
    <n v="104"/>
    <n v="16"/>
    <x v="8"/>
  </r>
  <r>
    <n v="6776"/>
    <s v="user_205"/>
    <s v="P100251"/>
    <x v="2"/>
    <x v="142"/>
    <n v="135004"/>
    <n v="1660"/>
    <n v="3406"/>
    <n v="231"/>
    <n v="66"/>
    <n v="9482"/>
    <n v="9707"/>
    <n v="2.7428816923942993E-2"/>
    <n v="18"/>
    <n v="5"/>
    <n v="206"/>
    <n v="1791"/>
    <n v="58"/>
    <n v="16"/>
    <x v="8"/>
  </r>
  <r>
    <n v="4794"/>
    <s v="user_294"/>
    <s v="P100252"/>
    <x v="2"/>
    <x v="185"/>
    <n v="426803"/>
    <n v="1274"/>
    <n v="34270"/>
    <n v="1007"/>
    <n v="6791"/>
    <n v="145780"/>
    <n v="109396"/>
    <n v="9.8565380280832143E-2"/>
    <n v="8"/>
    <n v="21"/>
    <n v="1266"/>
    <n v="15353"/>
    <n v="0"/>
    <n v="11"/>
    <x v="16"/>
  </r>
  <r>
    <n v="6117"/>
    <s v="user_212"/>
    <s v="P100253"/>
    <x v="2"/>
    <x v="186"/>
    <n v="447433"/>
    <n v="1906"/>
    <n v="7665"/>
    <n v="285"/>
    <n v="1682"/>
    <n v="10508"/>
    <n v="17824"/>
    <n v="2.1527245419984669E-2"/>
    <n v="11"/>
    <n v="35"/>
    <n v="748"/>
    <n v="1619"/>
    <n v="71"/>
    <n v="10"/>
    <x v="12"/>
  </r>
  <r>
    <n v="8731"/>
    <s v="user_268"/>
    <s v="P100254"/>
    <x v="2"/>
    <x v="182"/>
    <n v="461855"/>
    <n v="1265"/>
    <n v="24507"/>
    <n v="1095"/>
    <n v="2902"/>
    <n v="91382"/>
    <n v="90166"/>
    <n v="6.1716339543796211E-2"/>
    <n v="9"/>
    <n v="32"/>
    <n v="723"/>
    <n v="15730"/>
    <n v="418"/>
    <n v="13"/>
    <x v="14"/>
  </r>
  <r>
    <n v="4118"/>
    <s v="user_153"/>
    <s v="P100255"/>
    <x v="0"/>
    <x v="179"/>
    <n v="205431"/>
    <n v="752"/>
    <n v="11686"/>
    <n v="463"/>
    <n v="1022"/>
    <n v="15452"/>
    <n v="76315"/>
    <n v="6.4113984744269367E-2"/>
    <n v="15"/>
    <n v="0"/>
    <n v="751"/>
    <n v="2516"/>
    <n v="0"/>
    <n v="10"/>
    <x v="12"/>
  </r>
  <r>
    <n v="6866"/>
    <s v="user_37"/>
    <s v="P100256"/>
    <x v="2"/>
    <x v="90"/>
    <n v="419337"/>
    <n v="1030"/>
    <n v="57501"/>
    <n v="5977"/>
    <n v="7043"/>
    <n v="149972"/>
    <n v="165749"/>
    <n v="0.16817261534279113"/>
    <n v="3"/>
    <n v="9"/>
    <n v="4483"/>
    <n v="22799"/>
    <n v="786"/>
    <n v="19"/>
    <x v="17"/>
  </r>
  <r>
    <n v="9361"/>
    <s v="user_292"/>
    <s v="P100257"/>
    <x v="0"/>
    <x v="167"/>
    <n v="252737"/>
    <n v="571"/>
    <n v="10675"/>
    <n v="126"/>
    <n v="2883"/>
    <n v="25822"/>
    <n v="83515"/>
    <n v="5.4143239810554057E-2"/>
    <n v="20"/>
    <n v="0"/>
    <n v="1042"/>
    <n v="2112"/>
    <n v="189"/>
    <n v="11"/>
    <x v="16"/>
  </r>
  <r>
    <n v="3939"/>
    <s v="user_139"/>
    <s v="P100258"/>
    <x v="1"/>
    <x v="139"/>
    <n v="411275"/>
    <n v="1661"/>
    <n v="32005"/>
    <n v="1712"/>
    <n v="6626"/>
    <n v="100032"/>
    <n v="159160"/>
    <n v="9.8092517172208377E-2"/>
    <n v="17"/>
    <n v="0"/>
    <n v="2943"/>
    <n v="9898"/>
    <n v="121"/>
    <n v="10"/>
    <x v="12"/>
  </r>
  <r>
    <n v="4653"/>
    <s v="user_279"/>
    <s v="P100259"/>
    <x v="0"/>
    <x v="184"/>
    <n v="28610"/>
    <n v="932"/>
    <n v="2132"/>
    <n v="392"/>
    <n v="142"/>
    <n v="3430"/>
    <n v="7137"/>
    <n v="9.3184201328206914E-2"/>
    <n v="5"/>
    <n v="0"/>
    <n v="116"/>
    <n v="240"/>
    <n v="0"/>
    <n v="19"/>
    <x v="17"/>
  </r>
  <r>
    <n v="6815"/>
    <s v="user_274"/>
    <s v="P100260"/>
    <x v="1"/>
    <x v="187"/>
    <n v="316912"/>
    <n v="1810"/>
    <n v="23206"/>
    <n v="281"/>
    <n v="2371"/>
    <n v="82058"/>
    <n v="94314"/>
    <n v="8.1593628515171407E-2"/>
    <n v="7"/>
    <n v="0"/>
    <n v="1916"/>
    <n v="6555"/>
    <n v="0"/>
    <n v="20"/>
    <x v="5"/>
  </r>
  <r>
    <n v="2449"/>
    <s v="user_102"/>
    <s v="P100261"/>
    <x v="1"/>
    <x v="89"/>
    <n v="441665"/>
    <n v="773"/>
    <n v="29515"/>
    <n v="1800"/>
    <n v="7746"/>
    <n v="73394"/>
    <n v="200972"/>
    <n v="8.844033373710844E-2"/>
    <n v="17"/>
    <n v="0"/>
    <n v="2730"/>
    <n v="11021"/>
    <n v="512"/>
    <n v="19"/>
    <x v="17"/>
  </r>
  <r>
    <n v="6146"/>
    <s v="user_51"/>
    <s v="P100262"/>
    <x v="0"/>
    <x v="188"/>
    <n v="293385"/>
    <n v="731"/>
    <n v="10149"/>
    <n v="1413"/>
    <n v="1957"/>
    <n v="42584"/>
    <n v="48013"/>
    <n v="4.6079383744908567E-2"/>
    <n v="11"/>
    <n v="0"/>
    <n v="475"/>
    <n v="6857"/>
    <n v="0"/>
    <n v="15"/>
    <x v="6"/>
  </r>
  <r>
    <n v="4855"/>
    <s v="user_37"/>
    <s v="P100263"/>
    <x v="0"/>
    <x v="146"/>
    <n v="484369"/>
    <n v="1998"/>
    <n v="53146"/>
    <n v="3227"/>
    <n v="14701"/>
    <n v="84094"/>
    <n v="311461"/>
    <n v="0.14673523697841934"/>
    <n v="16"/>
    <n v="0"/>
    <n v="1558"/>
    <n v="7608"/>
    <n v="0"/>
    <n v="23"/>
    <x v="13"/>
  </r>
  <r>
    <n v="2328"/>
    <s v="user_99"/>
    <s v="P100264"/>
    <x v="1"/>
    <x v="189"/>
    <n v="376747"/>
    <n v="1184"/>
    <n v="32399"/>
    <n v="3375"/>
    <n v="8718"/>
    <n v="69620"/>
    <n v="172323"/>
    <n v="0.11809516731387376"/>
    <n v="24"/>
    <n v="0"/>
    <n v="2940"/>
    <n v="13042"/>
    <n v="0"/>
    <n v="17"/>
    <x v="15"/>
  </r>
  <r>
    <n v="4017"/>
    <s v="user_204"/>
    <s v="P100265"/>
    <x v="2"/>
    <x v="100"/>
    <n v="306831"/>
    <n v="138"/>
    <n v="30153"/>
    <n v="2567"/>
    <n v="5560"/>
    <n v="84905"/>
    <n v="164889"/>
    <n v="0.12475923228096249"/>
    <n v="5"/>
    <n v="24"/>
    <n v="2495"/>
    <n v="11213"/>
    <n v="764"/>
    <n v="15"/>
    <x v="6"/>
  </r>
  <r>
    <n v="8178"/>
    <s v="user_234"/>
    <s v="P100266"/>
    <x v="1"/>
    <x v="27"/>
    <n v="224673"/>
    <n v="1800"/>
    <n v="8072"/>
    <n v="1198"/>
    <n v="662"/>
    <n v="30450"/>
    <n v="20237"/>
    <n v="4.4206468957106552E-2"/>
    <n v="25"/>
    <n v="0"/>
    <n v="470"/>
    <n v="5163"/>
    <n v="455"/>
    <n v="9"/>
    <x v="3"/>
  </r>
  <r>
    <n v="2449"/>
    <s v="user_194"/>
    <s v="P100267"/>
    <x v="2"/>
    <x v="90"/>
    <n v="198517"/>
    <n v="180"/>
    <n v="4619"/>
    <n v="334"/>
    <n v="49"/>
    <n v="8722"/>
    <n v="31449"/>
    <n v="2.5196834528025309E-2"/>
    <n v="7"/>
    <n v="44"/>
    <n v="441"/>
    <n v="441"/>
    <n v="6"/>
    <n v="13"/>
    <x v="14"/>
  </r>
  <r>
    <n v="6722"/>
    <s v="user_107"/>
    <s v="P100268"/>
    <x v="0"/>
    <x v="190"/>
    <n v="37680"/>
    <n v="1383"/>
    <n v="2001"/>
    <n v="184"/>
    <n v="273"/>
    <n v="8880"/>
    <n v="9846"/>
    <n v="6.5233545647558386E-2"/>
    <n v="23"/>
    <n v="0"/>
    <n v="179"/>
    <n v="1195"/>
    <n v="40"/>
    <n v="18"/>
    <x v="1"/>
  </r>
  <r>
    <n v="7251"/>
    <s v="user_146"/>
    <s v="P100269"/>
    <x v="0"/>
    <x v="169"/>
    <n v="458616"/>
    <n v="1026"/>
    <n v="17261"/>
    <n v="3310"/>
    <n v="1977"/>
    <n v="76774"/>
    <n v="96227"/>
    <n v="4.9165314773143544E-2"/>
    <n v="24"/>
    <n v="0"/>
    <n v="1120"/>
    <n v="6303"/>
    <n v="54"/>
    <n v="23"/>
    <x v="13"/>
  </r>
  <r>
    <n v="4505"/>
    <s v="user_44"/>
    <s v="P100270"/>
    <x v="0"/>
    <x v="107"/>
    <n v="368790"/>
    <n v="1791"/>
    <n v="21915"/>
    <n v="1740"/>
    <n v="2118"/>
    <n v="104383"/>
    <n v="46278"/>
    <n v="6.9885300577564466E-2"/>
    <n v="24"/>
    <n v="0"/>
    <n v="1788"/>
    <n v="9741"/>
    <n v="301"/>
    <n v="6"/>
    <x v="2"/>
  </r>
  <r>
    <n v="2522"/>
    <s v="user_123"/>
    <s v="P100271"/>
    <x v="0"/>
    <x v="91"/>
    <n v="181140"/>
    <n v="758"/>
    <n v="5426"/>
    <n v="732"/>
    <n v="305"/>
    <n v="18311"/>
    <n v="29613"/>
    <n v="3.5679584851496082E-2"/>
    <n v="14"/>
    <n v="0"/>
    <n v="533"/>
    <n v="2310"/>
    <n v="208"/>
    <n v="13"/>
    <x v="14"/>
  </r>
  <r>
    <n v="1844"/>
    <s v="user_110"/>
    <s v="P100272"/>
    <x v="2"/>
    <x v="191"/>
    <n v="358188"/>
    <n v="677"/>
    <n v="51067"/>
    <n v="5527"/>
    <n v="2016"/>
    <n v="241543"/>
    <n v="288552"/>
    <n v="0.16362915563893821"/>
    <n v="7"/>
    <n v="13"/>
    <n v="2195"/>
    <n v="30198"/>
    <n v="664"/>
    <n v="22"/>
    <x v="0"/>
  </r>
  <r>
    <n v="6404"/>
    <s v="user_269"/>
    <s v="P100273"/>
    <x v="2"/>
    <x v="192"/>
    <n v="198785"/>
    <n v="945"/>
    <n v="5876"/>
    <n v="347"/>
    <n v="1024"/>
    <n v="28116"/>
    <n v="19468"/>
    <n v="3.6456473073924092E-2"/>
    <n v="13"/>
    <n v="18"/>
    <n v="487"/>
    <n v="2292"/>
    <n v="0"/>
    <n v="10"/>
    <x v="12"/>
  </r>
  <r>
    <n v="1823"/>
    <s v="user_111"/>
    <s v="P100274"/>
    <x v="0"/>
    <x v="193"/>
    <n v="255901"/>
    <n v="553"/>
    <n v="26399"/>
    <n v="3979"/>
    <n v="535"/>
    <n v="49540"/>
    <n v="60622"/>
    <n v="0.12080062211558376"/>
    <n v="23"/>
    <n v="0"/>
    <n v="976"/>
    <n v="4411"/>
    <n v="242"/>
    <n v="16"/>
    <x v="8"/>
  </r>
  <r>
    <n v="1163"/>
    <s v="user_61"/>
    <s v="P100275"/>
    <x v="2"/>
    <x v="69"/>
    <n v="141108"/>
    <n v="834"/>
    <n v="19047"/>
    <n v="471"/>
    <n v="4570"/>
    <n v="38781"/>
    <n v="97745"/>
    <n v="0.17070612580434844"/>
    <n v="12"/>
    <n v="32"/>
    <n v="406"/>
    <n v="3778"/>
    <n v="361"/>
    <n v="16"/>
    <x v="8"/>
  </r>
  <r>
    <n v="6017"/>
    <s v="user_57"/>
    <s v="P100276"/>
    <x v="1"/>
    <x v="194"/>
    <n v="408107"/>
    <n v="1433"/>
    <n v="46114"/>
    <n v="93"/>
    <n v="8464"/>
    <n v="125253"/>
    <n v="253891"/>
    <n v="0.13396241671914474"/>
    <n v="22"/>
    <n v="0"/>
    <n v="1416"/>
    <n v="22410"/>
    <n v="0"/>
    <n v="19"/>
    <x v="17"/>
  </r>
  <r>
    <n v="4958"/>
    <s v="user_263"/>
    <s v="P100277"/>
    <x v="1"/>
    <x v="133"/>
    <n v="145821"/>
    <n v="1393"/>
    <n v="2936"/>
    <n v="503"/>
    <n v="796"/>
    <n v="8166"/>
    <n v="7323"/>
    <n v="2.9042456162006843E-2"/>
    <n v="24"/>
    <n v="0"/>
    <n v="222"/>
    <n v="1264"/>
    <n v="0"/>
    <n v="7"/>
    <x v="4"/>
  </r>
  <r>
    <n v="6598"/>
    <s v="user_53"/>
    <s v="P100278"/>
    <x v="1"/>
    <x v="195"/>
    <n v="486967"/>
    <n v="748"/>
    <n v="31278"/>
    <n v="4357"/>
    <n v="7893"/>
    <n v="57750"/>
    <n v="230320"/>
    <n v="8.9385933749104154E-2"/>
    <n v="19"/>
    <n v="0"/>
    <n v="1547"/>
    <n v="6968"/>
    <n v="0"/>
    <n v="13"/>
    <x v="14"/>
  </r>
  <r>
    <n v="1123"/>
    <s v="user_173"/>
    <s v="P100279"/>
    <x v="1"/>
    <x v="138"/>
    <n v="189569"/>
    <n v="1654"/>
    <n v="4584"/>
    <n v="435"/>
    <n v="967"/>
    <n v="19970"/>
    <n v="17143"/>
    <n v="3.1576892846404213E-2"/>
    <n v="15"/>
    <n v="0"/>
    <n v="128"/>
    <n v="1422"/>
    <n v="32"/>
    <n v="20"/>
    <x v="5"/>
  </r>
  <r>
    <n v="6289"/>
    <s v="user_200"/>
    <s v="P100280"/>
    <x v="0"/>
    <x v="196"/>
    <n v="177703"/>
    <n v="1482"/>
    <n v="12632"/>
    <n v="582"/>
    <n v="1169"/>
    <n v="33595"/>
    <n v="40724"/>
    <n v="8.0938419722795904E-2"/>
    <n v="9"/>
    <n v="0"/>
    <n v="629"/>
    <n v="5607"/>
    <n v="155"/>
    <n v="22"/>
    <x v="0"/>
  </r>
  <r>
    <n v="2401"/>
    <s v="user_114"/>
    <s v="P100281"/>
    <x v="1"/>
    <x v="47"/>
    <n v="191374"/>
    <n v="1369"/>
    <n v="999"/>
    <n v="97"/>
    <n v="171"/>
    <n v="1656"/>
    <n v="6850"/>
    <n v="6.6205440655470443E-3"/>
    <n v="8"/>
    <n v="0"/>
    <n v="53"/>
    <n v="261"/>
    <n v="17"/>
    <n v="14"/>
    <x v="10"/>
  </r>
  <r>
    <n v="6574"/>
    <s v="user_134"/>
    <s v="P100282"/>
    <x v="1"/>
    <x v="64"/>
    <n v="84464"/>
    <n v="899"/>
    <n v="9771"/>
    <n v="1551"/>
    <n v="1648"/>
    <n v="32501"/>
    <n v="52993"/>
    <n v="0.15355654480015155"/>
    <n v="10"/>
    <n v="0"/>
    <n v="976"/>
    <n v="4309"/>
    <n v="356"/>
    <n v="19"/>
    <x v="17"/>
  </r>
  <r>
    <n v="8449"/>
    <s v="user_126"/>
    <s v="P100283"/>
    <x v="2"/>
    <x v="80"/>
    <n v="263419"/>
    <n v="288"/>
    <n v="15054"/>
    <n v="1858"/>
    <n v="138"/>
    <n v="23600"/>
    <n v="42362"/>
    <n v="6.4725779081994839E-2"/>
    <n v="16"/>
    <n v="25"/>
    <n v="387"/>
    <n v="3313"/>
    <n v="0"/>
    <n v="9"/>
    <x v="3"/>
  </r>
  <r>
    <n v="5241"/>
    <s v="user_296"/>
    <s v="P100284"/>
    <x v="2"/>
    <x v="138"/>
    <n v="420089"/>
    <n v="356"/>
    <n v="24626"/>
    <n v="3493"/>
    <n v="5149"/>
    <n v="32835"/>
    <n v="166275"/>
    <n v="7.9192742490281826E-2"/>
    <n v="8"/>
    <n v="35"/>
    <n v="1701"/>
    <n v="3034"/>
    <n v="0"/>
    <n v="13"/>
    <x v="14"/>
  </r>
  <r>
    <n v="1261"/>
    <s v="user_263"/>
    <s v="P100285"/>
    <x v="1"/>
    <x v="186"/>
    <n v="408867"/>
    <n v="1567"/>
    <n v="6880"/>
    <n v="340"/>
    <n v="1529"/>
    <n v="18239"/>
    <n v="44772"/>
    <n v="2.1398156368696911E-2"/>
    <n v="15"/>
    <n v="0"/>
    <n v="200"/>
    <n v="1975"/>
    <n v="0"/>
    <n v="8"/>
    <x v="11"/>
  </r>
  <r>
    <n v="2661"/>
    <s v="user_209"/>
    <s v="P100286"/>
    <x v="1"/>
    <x v="197"/>
    <n v="135620"/>
    <n v="498"/>
    <n v="19053"/>
    <n v="2783"/>
    <n v="2299"/>
    <n v="57137"/>
    <n v="106890"/>
    <n v="0.1779604778056334"/>
    <n v="22"/>
    <n v="0"/>
    <n v="401"/>
    <n v="4367"/>
    <n v="0"/>
    <n v="7"/>
    <x v="4"/>
  </r>
  <r>
    <n v="2201"/>
    <s v="user_14"/>
    <s v="P100287"/>
    <x v="0"/>
    <x v="68"/>
    <n v="447895"/>
    <n v="973"/>
    <n v="13569"/>
    <n v="263"/>
    <n v="1154"/>
    <n v="67476"/>
    <n v="97209"/>
    <n v="3.345873474809944E-2"/>
    <n v="14"/>
    <n v="0"/>
    <n v="609"/>
    <n v="9707"/>
    <n v="917"/>
    <n v="18"/>
    <x v="1"/>
  </r>
  <r>
    <n v="2626"/>
    <s v="user_59"/>
    <s v="P100288"/>
    <x v="2"/>
    <x v="198"/>
    <n v="148787"/>
    <n v="532"/>
    <n v="3126"/>
    <n v="161"/>
    <n v="361"/>
    <n v="7794"/>
    <n v="8364"/>
    <n v="2.4518271085511502E-2"/>
    <n v="11"/>
    <n v="7"/>
    <n v="154"/>
    <n v="990"/>
    <n v="97"/>
    <n v="20"/>
    <x v="5"/>
  </r>
  <r>
    <n v="3696"/>
    <s v="user_166"/>
    <s v="P100289"/>
    <x v="1"/>
    <x v="19"/>
    <n v="348068"/>
    <n v="678"/>
    <n v="10923"/>
    <n v="1115"/>
    <n v="2234"/>
    <n v="49830"/>
    <n v="26520"/>
    <n v="4.1003482078214602E-2"/>
    <n v="16"/>
    <n v="0"/>
    <n v="946"/>
    <n v="3833"/>
    <n v="0"/>
    <n v="17"/>
    <x v="15"/>
  </r>
  <r>
    <n v="1285"/>
    <s v="user_259"/>
    <s v="P100290"/>
    <x v="2"/>
    <x v="13"/>
    <n v="127274"/>
    <n v="1953"/>
    <n v="13578"/>
    <n v="2175"/>
    <n v="3506"/>
    <n v="40332"/>
    <n v="27775"/>
    <n v="0.15131920109370334"/>
    <n v="18"/>
    <n v="5"/>
    <n v="760"/>
    <n v="6141"/>
    <n v="273"/>
    <n v="21"/>
    <x v="7"/>
  </r>
  <r>
    <n v="4063"/>
    <s v="user_111"/>
    <s v="P100291"/>
    <x v="1"/>
    <x v="199"/>
    <n v="304795"/>
    <n v="668"/>
    <n v="27018"/>
    <n v="612"/>
    <n v="6944"/>
    <n v="66343"/>
    <n v="134668"/>
    <n v="0.11343361931790219"/>
    <n v="16"/>
    <n v="0"/>
    <n v="1654"/>
    <n v="13253"/>
    <n v="650"/>
    <n v="23"/>
    <x v="13"/>
  </r>
  <r>
    <n v="9526"/>
    <s v="user_286"/>
    <s v="P100292"/>
    <x v="1"/>
    <x v="200"/>
    <n v="321254"/>
    <n v="1939"/>
    <n v="1009"/>
    <n v="184"/>
    <n v="161"/>
    <n v="4788"/>
    <n v="3622"/>
    <n v="4.2147335130457517E-3"/>
    <n v="4"/>
    <n v="0"/>
    <n v="27"/>
    <n v="726"/>
    <n v="14"/>
    <n v="6"/>
    <x v="2"/>
  </r>
  <r>
    <n v="6128"/>
    <s v="user_68"/>
    <s v="P100293"/>
    <x v="1"/>
    <x v="201"/>
    <n v="259228"/>
    <n v="1810"/>
    <n v="4270"/>
    <n v="538"/>
    <n v="1163"/>
    <n v="9198"/>
    <n v="28700"/>
    <n v="2.303377721542426E-2"/>
    <n v="24"/>
    <n v="0"/>
    <n v="164"/>
    <n v="1647"/>
    <n v="0"/>
    <n v="15"/>
    <x v="6"/>
  </r>
  <r>
    <n v="1720"/>
    <s v="user_44"/>
    <s v="P100294"/>
    <x v="1"/>
    <x v="38"/>
    <n v="343230"/>
    <n v="1009"/>
    <n v="41003"/>
    <n v="7443"/>
    <n v="791"/>
    <n v="68147"/>
    <n v="142195"/>
    <n v="0.1434519127115928"/>
    <n v="3"/>
    <n v="0"/>
    <n v="1668"/>
    <n v="6904"/>
    <n v="0"/>
    <n v="21"/>
    <x v="7"/>
  </r>
  <r>
    <n v="9345"/>
    <s v="user_57"/>
    <s v="P100295"/>
    <x v="0"/>
    <x v="202"/>
    <n v="468712"/>
    <n v="141"/>
    <n v="6268"/>
    <n v="1169"/>
    <n v="711"/>
    <n v="10548"/>
    <n v="25680"/>
    <n v="1.7383809247469663E-2"/>
    <n v="15"/>
    <n v="0"/>
    <n v="232"/>
    <n v="892"/>
    <n v="0"/>
    <n v="13"/>
    <x v="14"/>
  </r>
  <r>
    <n v="6473"/>
    <s v="user_111"/>
    <s v="P100296"/>
    <x v="2"/>
    <x v="173"/>
    <n v="309826"/>
    <n v="131"/>
    <n v="5420"/>
    <n v="334"/>
    <n v="963"/>
    <n v="20683"/>
    <n v="12305"/>
    <n v="2.1679910659531478E-2"/>
    <n v="17"/>
    <n v="31"/>
    <n v="260"/>
    <n v="2732"/>
    <n v="20"/>
    <n v="14"/>
    <x v="10"/>
  </r>
  <r>
    <n v="3936"/>
    <s v="user_231"/>
    <s v="P100297"/>
    <x v="2"/>
    <x v="203"/>
    <n v="322129"/>
    <n v="1368"/>
    <n v="10919"/>
    <n v="393"/>
    <n v="2250"/>
    <n v="15377"/>
    <n v="80131"/>
    <n v="4.2101145814254538E-2"/>
    <n v="5"/>
    <n v="9"/>
    <n v="453"/>
    <n v="850"/>
    <n v="0"/>
    <n v="19"/>
    <x v="17"/>
  </r>
  <r>
    <n v="3758"/>
    <s v="user_48"/>
    <s v="P100298"/>
    <x v="1"/>
    <x v="14"/>
    <n v="33759"/>
    <n v="1409"/>
    <n v="1641"/>
    <n v="234"/>
    <n v="130"/>
    <n v="6632"/>
    <n v="5630"/>
    <n v="5.9391569655499271E-2"/>
    <n v="21"/>
    <n v="0"/>
    <n v="111"/>
    <n v="1151"/>
    <n v="47"/>
    <n v="10"/>
    <x v="12"/>
  </r>
  <r>
    <n v="9045"/>
    <s v="user_183"/>
    <s v="P100299"/>
    <x v="2"/>
    <x v="29"/>
    <n v="254905"/>
    <n v="805"/>
    <n v="5164"/>
    <n v="863"/>
    <n v="477"/>
    <n v="24173"/>
    <n v="12630"/>
    <n v="2.5515388085757439E-2"/>
    <n v="9"/>
    <n v="33"/>
    <n v="447"/>
    <n v="3484"/>
    <n v="0"/>
    <n v="23"/>
    <x v="13"/>
  </r>
  <r>
    <n v="5216"/>
    <s v="user_282"/>
    <s v="P100300"/>
    <x v="2"/>
    <x v="204"/>
    <n v="289366"/>
    <n v="721"/>
    <n v="24833"/>
    <n v="3461"/>
    <n v="5437"/>
    <n v="104388"/>
    <n v="90879"/>
    <n v="0.11656863625996143"/>
    <n v="25"/>
    <n v="32"/>
    <n v="1935"/>
    <n v="19815"/>
    <n v="1534"/>
    <n v="11"/>
    <x v="16"/>
  </r>
  <r>
    <n v="6117"/>
    <s v="user_109"/>
    <s v="P100301"/>
    <x v="2"/>
    <x v="205"/>
    <n v="105478"/>
    <n v="1609"/>
    <n v="11036"/>
    <n v="1941"/>
    <n v="702"/>
    <n v="11715"/>
    <n v="41743"/>
    <n v="0.12968581125921994"/>
    <n v="18"/>
    <n v="25"/>
    <n v="991"/>
    <n v="655"/>
    <n v="39"/>
    <n v="10"/>
    <x v="12"/>
  </r>
  <r>
    <n v="9136"/>
    <s v="user_294"/>
    <s v="P100302"/>
    <x v="0"/>
    <x v="163"/>
    <n v="39629"/>
    <n v="1745"/>
    <n v="1528"/>
    <n v="250"/>
    <n v="34"/>
    <n v="4646"/>
    <n v="4730"/>
    <n v="4.5724090943500974E-2"/>
    <n v="4"/>
    <n v="0"/>
    <n v="145"/>
    <n v="350"/>
    <n v="18"/>
    <n v="17"/>
    <x v="15"/>
  </r>
  <r>
    <n v="1745"/>
    <s v="user_40"/>
    <s v="P100303"/>
    <x v="2"/>
    <x v="100"/>
    <n v="269715"/>
    <n v="903"/>
    <n v="29400"/>
    <n v="1884"/>
    <n v="8369"/>
    <n v="69569"/>
    <n v="137240"/>
    <n v="0.14701814878668223"/>
    <n v="25"/>
    <n v="40"/>
    <n v="2907"/>
    <n v="6112"/>
    <n v="0"/>
    <n v="19"/>
    <x v="17"/>
  </r>
  <r>
    <n v="9980"/>
    <s v="user_257"/>
    <s v="P100304"/>
    <x v="0"/>
    <x v="1"/>
    <n v="83992"/>
    <n v="1195"/>
    <n v="10492"/>
    <n v="1288"/>
    <n v="836"/>
    <n v="25329"/>
    <n v="22985"/>
    <n v="0.15020478140775312"/>
    <n v="24"/>
    <n v="0"/>
    <n v="456"/>
    <n v="3216"/>
    <n v="0"/>
    <n v="16"/>
    <x v="8"/>
  </r>
  <r>
    <n v="2449"/>
    <s v="user_82"/>
    <s v="P100305"/>
    <x v="1"/>
    <x v="206"/>
    <n v="413523"/>
    <n v="262"/>
    <n v="27520"/>
    <n v="2550"/>
    <n v="7081"/>
    <n v="80803"/>
    <n v="143586"/>
    <n v="8.9840226541208101E-2"/>
    <n v="9"/>
    <n v="0"/>
    <n v="2715"/>
    <n v="5693"/>
    <n v="505"/>
    <n v="22"/>
    <x v="0"/>
  </r>
  <r>
    <n v="5312"/>
    <s v="user_293"/>
    <s v="P100306"/>
    <x v="0"/>
    <x v="86"/>
    <n v="411990"/>
    <n v="888"/>
    <n v="28969"/>
    <n v="1875"/>
    <n v="6243"/>
    <n v="127446"/>
    <n v="227614"/>
    <n v="9.0019175222699574E-2"/>
    <n v="18"/>
    <n v="0"/>
    <n v="866"/>
    <n v="14946"/>
    <n v="926"/>
    <n v="19"/>
    <x v="17"/>
  </r>
  <r>
    <n v="3230"/>
    <s v="user_114"/>
    <s v="P100307"/>
    <x v="1"/>
    <x v="116"/>
    <n v="7990"/>
    <n v="1002"/>
    <n v="262"/>
    <n v="10"/>
    <n v="44"/>
    <n v="650"/>
    <n v="1477"/>
    <n v="3.9549436795994992E-2"/>
    <n v="16"/>
    <n v="0"/>
    <n v="14"/>
    <n v="68"/>
    <n v="1"/>
    <n v="7"/>
    <x v="4"/>
  </r>
  <r>
    <n v="1254"/>
    <s v="user_173"/>
    <s v="P100308"/>
    <x v="0"/>
    <x v="207"/>
    <n v="81780"/>
    <n v="1416"/>
    <n v="8323"/>
    <n v="1433"/>
    <n v="1915"/>
    <n v="17647"/>
    <n v="38401"/>
    <n v="0.14271215456101735"/>
    <n v="7"/>
    <n v="0"/>
    <n v="810"/>
    <n v="3182"/>
    <n v="280"/>
    <n v="6"/>
    <x v="2"/>
  </r>
  <r>
    <n v="1622"/>
    <s v="user_258"/>
    <s v="P100309"/>
    <x v="1"/>
    <x v="118"/>
    <n v="149324"/>
    <n v="527"/>
    <n v="20749"/>
    <n v="953"/>
    <n v="4160"/>
    <n v="98395"/>
    <n v="108064"/>
    <n v="0.17319386033055637"/>
    <n v="13"/>
    <n v="0"/>
    <n v="762"/>
    <n v="19310"/>
    <n v="0"/>
    <n v="7"/>
    <x v="4"/>
  </r>
  <r>
    <n v="4908"/>
    <s v="user_114"/>
    <s v="P100310"/>
    <x v="0"/>
    <x v="5"/>
    <n v="35248"/>
    <n v="1782"/>
    <n v="4752"/>
    <n v="99"/>
    <n v="705"/>
    <n v="7484"/>
    <n v="33793"/>
    <n v="0.15762596459373582"/>
    <n v="17"/>
    <n v="0"/>
    <n v="249"/>
    <n v="529"/>
    <n v="47"/>
    <n v="10"/>
    <x v="12"/>
  </r>
  <r>
    <n v="9423"/>
    <s v="user_75"/>
    <s v="P100311"/>
    <x v="1"/>
    <x v="71"/>
    <n v="448949"/>
    <n v="1187"/>
    <n v="12224"/>
    <n v="419"/>
    <n v="1511"/>
    <n v="50517"/>
    <n v="74450"/>
    <n v="3.1526966314659351E-2"/>
    <n v="20"/>
    <n v="0"/>
    <n v="631"/>
    <n v="3786"/>
    <n v="178"/>
    <n v="9"/>
    <x v="3"/>
  </r>
  <r>
    <n v="8332"/>
    <s v="user_292"/>
    <s v="P100312"/>
    <x v="2"/>
    <x v="39"/>
    <n v="269209"/>
    <n v="857"/>
    <n v="27115"/>
    <n v="2821"/>
    <n v="3579"/>
    <n v="120774"/>
    <n v="153364"/>
    <n v="0.12449435197188802"/>
    <n v="8"/>
    <n v="18"/>
    <n v="2423"/>
    <n v="21416"/>
    <n v="1743"/>
    <n v="20"/>
    <x v="5"/>
  </r>
  <r>
    <n v="1579"/>
    <s v="user_126"/>
    <s v="P100313"/>
    <x v="1"/>
    <x v="193"/>
    <n v="36144"/>
    <n v="268"/>
    <n v="581"/>
    <n v="87"/>
    <n v="142"/>
    <n v="1962"/>
    <n v="1650"/>
    <n v="2.2410358565737053E-2"/>
    <n v="5"/>
    <n v="0"/>
    <n v="46"/>
    <n v="378"/>
    <n v="0"/>
    <n v="16"/>
    <x v="8"/>
  </r>
  <r>
    <n v="9696"/>
    <s v="user_117"/>
    <s v="P100314"/>
    <x v="1"/>
    <x v="90"/>
    <n v="6019"/>
    <n v="1130"/>
    <n v="364"/>
    <n v="39"/>
    <n v="47"/>
    <n v="710"/>
    <n v="1298"/>
    <n v="7.4763249709254034E-2"/>
    <n v="25"/>
    <n v="0"/>
    <n v="20"/>
    <n v="41"/>
    <n v="0"/>
    <n v="17"/>
    <x v="15"/>
  </r>
  <r>
    <n v="8831"/>
    <s v="user_188"/>
    <s v="P100315"/>
    <x v="0"/>
    <x v="208"/>
    <n v="484527"/>
    <n v="476"/>
    <n v="57402"/>
    <n v="4226"/>
    <n v="842"/>
    <n v="113507"/>
    <n v="296068"/>
    <n v="0.12892986355765521"/>
    <n v="22"/>
    <n v="0"/>
    <n v="1395"/>
    <n v="6749"/>
    <n v="0"/>
    <n v="13"/>
    <x v="14"/>
  </r>
  <r>
    <n v="7917"/>
    <s v="user_92"/>
    <s v="P100316"/>
    <x v="2"/>
    <x v="161"/>
    <n v="223736"/>
    <n v="605"/>
    <n v="20073"/>
    <n v="3835"/>
    <n v="287"/>
    <n v="74698"/>
    <n v="143963"/>
    <n v="0.10814084456681089"/>
    <n v="17"/>
    <n v="26"/>
    <n v="772"/>
    <n v="8310"/>
    <n v="819"/>
    <n v="16"/>
    <x v="8"/>
  </r>
  <r>
    <n v="8977"/>
    <s v="user_117"/>
    <s v="P100317"/>
    <x v="2"/>
    <x v="128"/>
    <n v="338905"/>
    <n v="1819"/>
    <n v="41268"/>
    <n v="4336"/>
    <n v="4024"/>
    <n v="167115"/>
    <n v="232525"/>
    <n v="0.14643631696198051"/>
    <n v="6"/>
    <n v="20"/>
    <n v="1569"/>
    <n v="31661"/>
    <n v="0"/>
    <n v="7"/>
    <x v="4"/>
  </r>
  <r>
    <n v="8965"/>
    <s v="user_229"/>
    <s v="P100318"/>
    <x v="0"/>
    <x v="205"/>
    <n v="457442"/>
    <n v="1584"/>
    <n v="12254"/>
    <n v="934"/>
    <n v="3137"/>
    <n v="37824"/>
    <n v="79612"/>
    <n v="3.5687584436934081E-2"/>
    <n v="4"/>
    <n v="0"/>
    <n v="657"/>
    <n v="2473"/>
    <n v="182"/>
    <n v="16"/>
    <x v="8"/>
  </r>
  <r>
    <n v="3369"/>
    <s v="user_20"/>
    <s v="P100319"/>
    <x v="0"/>
    <x v="209"/>
    <n v="464755"/>
    <n v="198"/>
    <n v="62296"/>
    <n v="3594"/>
    <n v="15555"/>
    <n v="267692"/>
    <n v="238489"/>
    <n v="0.17524286989919419"/>
    <n v="9"/>
    <n v="0"/>
    <n v="2111"/>
    <n v="39634"/>
    <n v="0"/>
    <n v="14"/>
    <x v="10"/>
  </r>
  <r>
    <n v="9720"/>
    <s v="user_70"/>
    <s v="P100320"/>
    <x v="1"/>
    <x v="48"/>
    <n v="32819"/>
    <n v="150"/>
    <n v="3934"/>
    <n v="184"/>
    <n v="1131"/>
    <n v="8775"/>
    <n v="24363"/>
    <n v="0.1599378408848533"/>
    <n v="24"/>
    <n v="0"/>
    <n v="370"/>
    <n v="1004"/>
    <n v="82"/>
    <n v="9"/>
    <x v="3"/>
  </r>
  <r>
    <n v="5695"/>
    <s v="user_154"/>
    <s v="P100321"/>
    <x v="0"/>
    <x v="119"/>
    <n v="222757"/>
    <n v="382"/>
    <n v="19973"/>
    <n v="659"/>
    <n v="5818"/>
    <n v="81299"/>
    <n v="85523"/>
    <n v="0.11873925398528441"/>
    <n v="16"/>
    <n v="0"/>
    <n v="794"/>
    <n v="13318"/>
    <n v="0"/>
    <n v="20"/>
    <x v="5"/>
  </r>
  <r>
    <n v="2336"/>
    <s v="user_134"/>
    <s v="P100322"/>
    <x v="1"/>
    <x v="210"/>
    <n v="488531"/>
    <n v="1346"/>
    <n v="67207"/>
    <n v="8883"/>
    <n v="18943"/>
    <n v="307510"/>
    <n v="401299"/>
    <n v="0.19452808521874762"/>
    <n v="18"/>
    <n v="0"/>
    <n v="1771"/>
    <n v="19043"/>
    <n v="0"/>
    <n v="15"/>
    <x v="6"/>
  </r>
  <r>
    <n v="5467"/>
    <s v="user_35"/>
    <s v="P100323"/>
    <x v="0"/>
    <x v="148"/>
    <n v="128881"/>
    <n v="362"/>
    <n v="14328"/>
    <n v="1965"/>
    <n v="2092"/>
    <n v="23476"/>
    <n v="39085"/>
    <n v="0.14265097260263343"/>
    <n v="3"/>
    <n v="0"/>
    <n v="1413"/>
    <n v="1303"/>
    <n v="0"/>
    <n v="15"/>
    <x v="6"/>
  </r>
  <r>
    <n v="2052"/>
    <s v="user_201"/>
    <s v="P100324"/>
    <x v="2"/>
    <x v="211"/>
    <n v="172783"/>
    <n v="1184"/>
    <n v="21951"/>
    <n v="1833"/>
    <n v="2187"/>
    <n v="82237"/>
    <n v="89099"/>
    <n v="0.15030992632377027"/>
    <n v="14"/>
    <n v="37"/>
    <n v="558"/>
    <n v="13967"/>
    <n v="1017"/>
    <n v="15"/>
    <x v="6"/>
  </r>
  <r>
    <n v="7824"/>
    <s v="user_135"/>
    <s v="P100325"/>
    <x v="2"/>
    <x v="85"/>
    <n v="142923"/>
    <n v="564"/>
    <n v="15274"/>
    <n v="2732"/>
    <n v="4435"/>
    <n v="47769"/>
    <n v="42823"/>
    <n v="0.15701461626190327"/>
    <n v="13"/>
    <n v="31"/>
    <n v="1233"/>
    <n v="5560"/>
    <n v="246"/>
    <n v="16"/>
    <x v="8"/>
  </r>
  <r>
    <n v="6802"/>
    <s v="user_103"/>
    <s v="P100326"/>
    <x v="2"/>
    <x v="47"/>
    <n v="393312"/>
    <n v="253"/>
    <n v="56527"/>
    <n v="5912"/>
    <n v="14676"/>
    <n v="231646"/>
    <n v="272245"/>
    <n v="0.19606571881864779"/>
    <n v="16"/>
    <n v="7"/>
    <n v="1816"/>
    <n v="32551"/>
    <n v="1358"/>
    <n v="18"/>
    <x v="1"/>
  </r>
  <r>
    <n v="2145"/>
    <s v="user_256"/>
    <s v="P100327"/>
    <x v="0"/>
    <x v="115"/>
    <n v="413356"/>
    <n v="557"/>
    <n v="11942"/>
    <n v="2353"/>
    <n v="1314"/>
    <n v="48468"/>
    <n v="25970"/>
    <n v="3.7761638877867987E-2"/>
    <n v="14"/>
    <n v="0"/>
    <n v="654"/>
    <n v="6492"/>
    <n v="0"/>
    <n v="16"/>
    <x v="8"/>
  </r>
  <r>
    <n v="9734"/>
    <s v="user_223"/>
    <s v="P100328"/>
    <x v="1"/>
    <x v="212"/>
    <n v="69078"/>
    <n v="761"/>
    <n v="1226"/>
    <n v="175"/>
    <n v="312"/>
    <n v="5750"/>
    <n v="8421"/>
    <n v="2.479805437331712E-2"/>
    <n v="11"/>
    <n v="0"/>
    <n v="53"/>
    <n v="406"/>
    <n v="0"/>
    <n v="7"/>
    <x v="4"/>
  </r>
  <r>
    <n v="6037"/>
    <s v="user_255"/>
    <s v="P100329"/>
    <x v="1"/>
    <x v="213"/>
    <n v="48455"/>
    <n v="1652"/>
    <n v="3182"/>
    <n v="314"/>
    <n v="226"/>
    <n v="10719"/>
    <n v="20285"/>
    <n v="7.6813538334537204E-2"/>
    <n v="14"/>
    <n v="0"/>
    <n v="309"/>
    <n v="850"/>
    <n v="73"/>
    <n v="19"/>
    <x v="17"/>
  </r>
  <r>
    <n v="9719"/>
    <s v="user_298"/>
    <s v="P100330"/>
    <x v="2"/>
    <x v="183"/>
    <n v="440901"/>
    <n v="1393"/>
    <n v="12628"/>
    <n v="1236"/>
    <n v="2708"/>
    <n v="51082"/>
    <n v="94064"/>
    <n v="3.7586669116196153E-2"/>
    <n v="5"/>
    <n v="25"/>
    <n v="516"/>
    <n v="3181"/>
    <n v="0"/>
    <n v="12"/>
    <x v="9"/>
  </r>
  <r>
    <n v="3128"/>
    <s v="user_161"/>
    <s v="P100331"/>
    <x v="1"/>
    <x v="91"/>
    <n v="435195"/>
    <n v="1022"/>
    <n v="55081"/>
    <n v="10225"/>
    <n v="3891"/>
    <n v="189047"/>
    <n v="357131"/>
    <n v="0.15900228633141467"/>
    <n v="18"/>
    <n v="0"/>
    <n v="2500"/>
    <n v="32484"/>
    <n v="0"/>
    <n v="21"/>
    <x v="7"/>
  </r>
  <r>
    <n v="1215"/>
    <s v="user_96"/>
    <s v="P100332"/>
    <x v="0"/>
    <x v="214"/>
    <n v="172424"/>
    <n v="1791"/>
    <n v="6062"/>
    <n v="522"/>
    <n v="1133"/>
    <n v="15706"/>
    <n v="31652"/>
    <n v="4.4755950447733492E-2"/>
    <n v="14"/>
    <n v="0"/>
    <n v="421"/>
    <n v="3084"/>
    <n v="0"/>
    <n v="23"/>
    <x v="13"/>
  </r>
  <r>
    <n v="6537"/>
    <s v="user_138"/>
    <s v="P100333"/>
    <x v="1"/>
    <x v="13"/>
    <n v="491836"/>
    <n v="1524"/>
    <n v="698"/>
    <n v="49"/>
    <n v="96"/>
    <n v="1926"/>
    <n v="5550"/>
    <n v="1.7139859628006082E-3"/>
    <n v="6"/>
    <n v="0"/>
    <n v="38"/>
    <n v="293"/>
    <n v="16"/>
    <n v="19"/>
    <x v="17"/>
  </r>
  <r>
    <n v="6828"/>
    <s v="user_142"/>
    <s v="P100334"/>
    <x v="0"/>
    <x v="145"/>
    <n v="358156"/>
    <n v="1035"/>
    <n v="366"/>
    <n v="71"/>
    <n v="39"/>
    <n v="929"/>
    <n v="1196"/>
    <n v="1.3290298082399847E-3"/>
    <n v="8"/>
    <n v="0"/>
    <n v="11"/>
    <n v="144"/>
    <n v="8"/>
    <n v="15"/>
    <x v="6"/>
  </r>
  <r>
    <n v="4068"/>
    <s v="user_166"/>
    <s v="P100335"/>
    <x v="1"/>
    <x v="215"/>
    <n v="94755"/>
    <n v="1715"/>
    <n v="5481"/>
    <n v="529"/>
    <n v="847"/>
    <n v="25067"/>
    <n v="36604"/>
    <n v="7.2365574376022368E-2"/>
    <n v="6"/>
    <n v="0"/>
    <n v="463"/>
    <n v="2288"/>
    <n v="49"/>
    <n v="13"/>
    <x v="14"/>
  </r>
  <r>
    <n v="8902"/>
    <s v="user_245"/>
    <s v="P100336"/>
    <x v="0"/>
    <x v="216"/>
    <n v="192890"/>
    <n v="1785"/>
    <n v="20605"/>
    <n v="3013"/>
    <n v="4885"/>
    <n v="97748"/>
    <n v="61596"/>
    <n v="0.14776815801752294"/>
    <n v="23"/>
    <n v="0"/>
    <n v="844"/>
    <n v="12778"/>
    <n v="349"/>
    <n v="12"/>
    <x v="9"/>
  </r>
  <r>
    <n v="9537"/>
    <s v="user_104"/>
    <s v="P100337"/>
    <x v="2"/>
    <x v="217"/>
    <n v="85305"/>
    <n v="471"/>
    <n v="6732"/>
    <n v="774"/>
    <n v="1653"/>
    <n v="21058"/>
    <n v="36973"/>
    <n v="0.10736768067522419"/>
    <n v="10"/>
    <n v="30"/>
    <n v="215"/>
    <n v="4178"/>
    <n v="0"/>
    <n v="13"/>
    <x v="14"/>
  </r>
  <r>
    <n v="2123"/>
    <s v="user_12"/>
    <s v="P100338"/>
    <x v="1"/>
    <x v="143"/>
    <n v="247820"/>
    <n v="270"/>
    <n v="344"/>
    <n v="57"/>
    <n v="46"/>
    <n v="1259"/>
    <n v="2204"/>
    <n v="1.8037285126301348E-3"/>
    <n v="16"/>
    <n v="0"/>
    <n v="11"/>
    <n v="89"/>
    <n v="0"/>
    <n v="20"/>
    <x v="5"/>
  </r>
  <r>
    <n v="4614"/>
    <s v="user_284"/>
    <s v="P100339"/>
    <x v="1"/>
    <x v="27"/>
    <n v="302807"/>
    <n v="1054"/>
    <n v="38888"/>
    <n v="5852"/>
    <n v="4142"/>
    <n v="169112"/>
    <n v="134501"/>
    <n v="0.1614295574408782"/>
    <n v="11"/>
    <n v="0"/>
    <n v="2649"/>
    <n v="10779"/>
    <n v="302"/>
    <n v="12"/>
    <x v="9"/>
  </r>
  <r>
    <n v="9810"/>
    <s v="user_272"/>
    <s v="P100340"/>
    <x v="2"/>
    <x v="218"/>
    <n v="18883"/>
    <n v="934"/>
    <n v="2685"/>
    <n v="400"/>
    <n v="155"/>
    <n v="6424"/>
    <n v="6646"/>
    <n v="0.17158290525869829"/>
    <n v="21"/>
    <n v="17"/>
    <n v="205"/>
    <n v="1189"/>
    <n v="68"/>
    <n v="23"/>
    <x v="13"/>
  </r>
  <r>
    <n v="1559"/>
    <s v="user_163"/>
    <s v="P100341"/>
    <x v="2"/>
    <x v="219"/>
    <n v="296268"/>
    <n v="346"/>
    <n v="22343"/>
    <n v="2907"/>
    <n v="1196"/>
    <n v="37729"/>
    <n v="45030"/>
    <n v="8.9263774690482939E-2"/>
    <n v="8"/>
    <n v="36"/>
    <n v="2024"/>
    <n v="6333"/>
    <n v="0"/>
    <n v="8"/>
    <x v="11"/>
  </r>
  <r>
    <n v="5755"/>
    <s v="user_266"/>
    <s v="P100342"/>
    <x v="2"/>
    <x v="220"/>
    <n v="477828"/>
    <n v="1328"/>
    <n v="2175"/>
    <n v="427"/>
    <n v="613"/>
    <n v="4133"/>
    <n v="10698"/>
    <n v="6.7283625070108906E-3"/>
    <n v="11"/>
    <n v="35"/>
    <n v="172"/>
    <n v="383"/>
    <n v="25"/>
    <n v="23"/>
    <x v="13"/>
  </r>
  <r>
    <n v="7215"/>
    <s v="user_166"/>
    <s v="P100343"/>
    <x v="2"/>
    <x v="129"/>
    <n v="77581"/>
    <n v="1431"/>
    <n v="7248"/>
    <n v="558"/>
    <n v="1946"/>
    <n v="16764"/>
    <n v="57268"/>
    <n v="0.12570088037019372"/>
    <n v="13"/>
    <n v="30"/>
    <n v="273"/>
    <n v="1546"/>
    <n v="43"/>
    <n v="10"/>
    <x v="12"/>
  </r>
  <r>
    <n v="7251"/>
    <s v="user_72"/>
    <s v="P100344"/>
    <x v="0"/>
    <x v="115"/>
    <n v="111285"/>
    <n v="888"/>
    <n v="1802"/>
    <n v="278"/>
    <n v="431"/>
    <n v="5202"/>
    <n v="5572"/>
    <n v="2.2563687828548323E-2"/>
    <n v="14"/>
    <n v="0"/>
    <n v="163"/>
    <n v="863"/>
    <n v="0"/>
    <n v="9"/>
    <x v="3"/>
  </r>
  <r>
    <n v="5789"/>
    <s v="user_224"/>
    <s v="P100345"/>
    <x v="0"/>
    <x v="50"/>
    <n v="128692"/>
    <n v="946"/>
    <n v="6349"/>
    <n v="462"/>
    <n v="1120"/>
    <n v="11194"/>
    <n v="33957"/>
    <n v="6.1627762409473784E-2"/>
    <n v="7"/>
    <n v="0"/>
    <n v="212"/>
    <n v="1938"/>
    <n v="0"/>
    <n v="13"/>
    <x v="14"/>
  </r>
  <r>
    <n v="3574"/>
    <s v="user_59"/>
    <s v="P100346"/>
    <x v="2"/>
    <x v="117"/>
    <n v="359787"/>
    <n v="1567"/>
    <n v="50811"/>
    <n v="1085"/>
    <n v="3709"/>
    <n v="200316"/>
    <n v="349459"/>
    <n v="0.15454977528370953"/>
    <n v="6"/>
    <n v="15"/>
    <n v="1357"/>
    <n v="30188"/>
    <n v="0"/>
    <n v="16"/>
    <x v="8"/>
  </r>
  <r>
    <n v="2963"/>
    <s v="user_97"/>
    <s v="P100347"/>
    <x v="0"/>
    <x v="109"/>
    <n v="133106"/>
    <n v="1375"/>
    <n v="5669"/>
    <n v="760"/>
    <n v="831"/>
    <n v="26157"/>
    <n v="15668"/>
    <n v="5.4542995807852386E-2"/>
    <n v="13"/>
    <n v="0"/>
    <n v="181"/>
    <n v="3982"/>
    <n v="0"/>
    <n v="15"/>
    <x v="6"/>
  </r>
  <r>
    <n v="6519"/>
    <s v="user_161"/>
    <s v="P100348"/>
    <x v="1"/>
    <x v="6"/>
    <n v="14834"/>
    <n v="1200"/>
    <n v="2165"/>
    <n v="174"/>
    <n v="373"/>
    <n v="8720"/>
    <n v="4788"/>
    <n v="0.18282324389915061"/>
    <n v="4"/>
    <n v="0"/>
    <n v="141"/>
    <n v="1710"/>
    <n v="118"/>
    <n v="15"/>
    <x v="6"/>
  </r>
  <r>
    <n v="4143"/>
    <s v="user_113"/>
    <s v="P100349"/>
    <x v="0"/>
    <x v="34"/>
    <n v="176504"/>
    <n v="1749"/>
    <n v="554"/>
    <n v="34"/>
    <n v="104"/>
    <n v="1644"/>
    <n v="2952"/>
    <n v="3.920591034764085E-3"/>
    <n v="3"/>
    <n v="0"/>
    <n v="13"/>
    <n v="288"/>
    <n v="5"/>
    <n v="22"/>
    <x v="0"/>
  </r>
  <r>
    <n v="6446"/>
    <s v="user_233"/>
    <s v="P100350"/>
    <x v="1"/>
    <x v="221"/>
    <n v="300171"/>
    <n v="1054"/>
    <n v="10835"/>
    <n v="1150"/>
    <n v="554"/>
    <n v="49964"/>
    <n v="63563"/>
    <n v="4.1772856138667623E-2"/>
    <n v="15"/>
    <n v="0"/>
    <n v="372"/>
    <n v="3772"/>
    <n v="0"/>
    <n v="22"/>
    <x v="0"/>
  </r>
  <r>
    <n v="9748"/>
    <s v="user_300"/>
    <s v="P100351"/>
    <x v="2"/>
    <x v="181"/>
    <n v="138970"/>
    <n v="1274"/>
    <n v="12863"/>
    <n v="391"/>
    <n v="2483"/>
    <n v="55385"/>
    <n v="75459"/>
    <n v="0.11324026768367274"/>
    <n v="22"/>
    <n v="13"/>
    <n v="987"/>
    <n v="5767"/>
    <n v="577"/>
    <n v="10"/>
    <x v="12"/>
  </r>
  <r>
    <n v="9986"/>
    <s v="user_173"/>
    <s v="P100352"/>
    <x v="2"/>
    <x v="184"/>
    <n v="75995"/>
    <n v="1575"/>
    <n v="6203"/>
    <n v="302"/>
    <n v="294"/>
    <n v="25253"/>
    <n v="45373"/>
    <n v="8.9466412263964734E-2"/>
    <n v="7"/>
    <n v="33"/>
    <n v="131"/>
    <n v="4225"/>
    <n v="69"/>
    <n v="22"/>
    <x v="0"/>
  </r>
  <r>
    <n v="3175"/>
    <s v="user_218"/>
    <s v="P100353"/>
    <x v="0"/>
    <x v="222"/>
    <n v="127445"/>
    <n v="1136"/>
    <n v="10408"/>
    <n v="1031"/>
    <n v="511"/>
    <n v="31326"/>
    <n v="64946"/>
    <n v="9.3765938247871633E-2"/>
    <n v="19"/>
    <n v="0"/>
    <n v="238"/>
    <n v="4722"/>
    <n v="0"/>
    <n v="12"/>
    <x v="9"/>
  </r>
  <r>
    <n v="5140"/>
    <s v="user_23"/>
    <s v="P100354"/>
    <x v="1"/>
    <x v="163"/>
    <n v="296464"/>
    <n v="573"/>
    <n v="24221"/>
    <n v="2904"/>
    <n v="4644"/>
    <n v="119179"/>
    <n v="71511"/>
    <n v="0.10715972259701009"/>
    <n v="18"/>
    <n v="0"/>
    <n v="891"/>
    <n v="14874"/>
    <n v="310"/>
    <n v="15"/>
    <x v="6"/>
  </r>
  <r>
    <n v="6264"/>
    <s v="user_263"/>
    <s v="P100355"/>
    <x v="0"/>
    <x v="223"/>
    <n v="420213"/>
    <n v="1327"/>
    <n v="29127"/>
    <n v="2546"/>
    <n v="1653"/>
    <n v="41147"/>
    <n v="129843"/>
    <n v="7.9307398866765189E-2"/>
    <n v="12"/>
    <n v="0"/>
    <n v="1512"/>
    <n v="6201"/>
    <n v="419"/>
    <n v="16"/>
    <x v="8"/>
  </r>
  <r>
    <n v="6752"/>
    <s v="user_246"/>
    <s v="P100356"/>
    <x v="1"/>
    <x v="144"/>
    <n v="8228"/>
    <n v="1895"/>
    <n v="968"/>
    <n v="114"/>
    <n v="219"/>
    <n v="2418"/>
    <n v="3408"/>
    <n v="0.15811861934856589"/>
    <n v="21"/>
    <n v="0"/>
    <n v="77"/>
    <n v="433"/>
    <n v="9"/>
    <n v="21"/>
    <x v="7"/>
  </r>
  <r>
    <n v="7475"/>
    <s v="user_28"/>
    <s v="P100357"/>
    <x v="1"/>
    <x v="100"/>
    <n v="60812"/>
    <n v="1298"/>
    <n v="1729"/>
    <n v="221"/>
    <n v="345"/>
    <n v="2211"/>
    <n v="3624"/>
    <n v="3.7739261987765574E-2"/>
    <n v="6"/>
    <n v="0"/>
    <n v="53"/>
    <n v="227"/>
    <n v="5"/>
    <n v="9"/>
    <x v="3"/>
  </r>
  <r>
    <n v="6668"/>
    <s v="user_37"/>
    <s v="P100358"/>
    <x v="0"/>
    <x v="224"/>
    <n v="199967"/>
    <n v="688"/>
    <n v="12744"/>
    <n v="1050"/>
    <n v="3389"/>
    <n v="45918"/>
    <n v="71114"/>
    <n v="8.5929178314421886E-2"/>
    <n v="19"/>
    <n v="0"/>
    <n v="423"/>
    <n v="6258"/>
    <n v="210"/>
    <n v="18"/>
    <x v="1"/>
  </r>
  <r>
    <n v="3877"/>
    <s v="user_185"/>
    <s v="P100359"/>
    <x v="1"/>
    <x v="56"/>
    <n v="163280"/>
    <n v="1197"/>
    <n v="2600"/>
    <n v="329"/>
    <n v="285"/>
    <n v="2684"/>
    <n v="10280"/>
    <n v="1.9683978441940225E-2"/>
    <n v="9"/>
    <n v="0"/>
    <n v="253"/>
    <n v="460"/>
    <n v="24"/>
    <n v="11"/>
    <x v="16"/>
  </r>
  <r>
    <n v="4646"/>
    <s v="user_187"/>
    <s v="P100360"/>
    <x v="0"/>
    <x v="152"/>
    <n v="122390"/>
    <n v="345"/>
    <n v="13404"/>
    <n v="720"/>
    <n v="748"/>
    <n v="43121"/>
    <n v="82860"/>
    <n v="0.12151319552251001"/>
    <n v="7"/>
    <n v="0"/>
    <n v="495"/>
    <n v="7707"/>
    <n v="0"/>
    <n v="17"/>
    <x v="15"/>
  </r>
  <r>
    <n v="7647"/>
    <s v="user_280"/>
    <s v="P100361"/>
    <x v="0"/>
    <x v="32"/>
    <n v="169933"/>
    <n v="931"/>
    <n v="332"/>
    <n v="19"/>
    <n v="80"/>
    <n v="415"/>
    <n v="1486"/>
    <n v="2.5362937157585638E-3"/>
    <n v="4"/>
    <n v="0"/>
    <n v="19"/>
    <n v="52"/>
    <n v="5"/>
    <n v="9"/>
    <x v="3"/>
  </r>
  <r>
    <n v="1773"/>
    <s v="user_236"/>
    <s v="P100362"/>
    <x v="0"/>
    <x v="94"/>
    <n v="93520"/>
    <n v="1847"/>
    <n v="9507"/>
    <n v="1809"/>
    <n v="1499"/>
    <n v="26804"/>
    <n v="58749"/>
    <n v="0.1370295124037639"/>
    <n v="17"/>
    <n v="0"/>
    <n v="594"/>
    <n v="4937"/>
    <n v="0"/>
    <n v="9"/>
    <x v="3"/>
  </r>
  <r>
    <n v="6099"/>
    <s v="user_51"/>
    <s v="P100363"/>
    <x v="2"/>
    <x v="225"/>
    <n v="360916"/>
    <n v="118"/>
    <n v="28747"/>
    <n v="81"/>
    <n v="1735"/>
    <n v="100104"/>
    <n v="186988"/>
    <n v="8.4681754203194098E-2"/>
    <n v="21"/>
    <n v="44"/>
    <n v="1315"/>
    <n v="5931"/>
    <n v="0"/>
    <n v="22"/>
    <x v="0"/>
  </r>
  <r>
    <n v="8159"/>
    <s v="user_179"/>
    <s v="P100364"/>
    <x v="2"/>
    <x v="226"/>
    <n v="334028"/>
    <n v="1080"/>
    <n v="2793"/>
    <n v="91"/>
    <n v="552"/>
    <n v="5814"/>
    <n v="12572"/>
    <n v="1.0286562803118302E-2"/>
    <n v="10"/>
    <n v="23"/>
    <n v="176"/>
    <n v="1069"/>
    <n v="11"/>
    <n v="12"/>
    <x v="9"/>
  </r>
  <r>
    <n v="8521"/>
    <s v="user_70"/>
    <s v="P100365"/>
    <x v="1"/>
    <x v="227"/>
    <n v="464149"/>
    <n v="1529"/>
    <n v="43421"/>
    <n v="5534"/>
    <n v="11149"/>
    <n v="85112"/>
    <n v="112053"/>
    <n v="0.12949289990929636"/>
    <n v="25"/>
    <n v="0"/>
    <n v="3745"/>
    <n v="8002"/>
    <n v="538"/>
    <n v="9"/>
    <x v="3"/>
  </r>
  <r>
    <n v="5981"/>
    <s v="user_262"/>
    <s v="P100366"/>
    <x v="0"/>
    <x v="202"/>
    <n v="484389"/>
    <n v="1748"/>
    <n v="51662"/>
    <n v="7895"/>
    <n v="15341"/>
    <n v="257264"/>
    <n v="220873"/>
    <n v="0.15462365990970067"/>
    <n v="18"/>
    <n v="0"/>
    <n v="2696"/>
    <n v="20591"/>
    <n v="0"/>
    <n v="20"/>
    <x v="5"/>
  </r>
  <r>
    <n v="3478"/>
    <s v="user_95"/>
    <s v="P100367"/>
    <x v="1"/>
    <x v="62"/>
    <n v="202324"/>
    <n v="1840"/>
    <n v="10637"/>
    <n v="216"/>
    <n v="1840"/>
    <n v="19228"/>
    <n v="79026"/>
    <n v="6.273600759178348E-2"/>
    <n v="24"/>
    <n v="0"/>
    <n v="390"/>
    <n v="2092"/>
    <n v="72"/>
    <n v="6"/>
    <x v="2"/>
  </r>
  <r>
    <n v="7243"/>
    <s v="user_240"/>
    <s v="P100368"/>
    <x v="0"/>
    <x v="49"/>
    <n v="451805"/>
    <n v="1137"/>
    <n v="18756"/>
    <n v="3027"/>
    <n v="1852"/>
    <n v="32128"/>
    <n v="46896"/>
    <n v="5.2312391407797615E-2"/>
    <n v="20"/>
    <n v="0"/>
    <n v="391"/>
    <n v="3404"/>
    <n v="283"/>
    <n v="20"/>
    <x v="5"/>
  </r>
  <r>
    <n v="4922"/>
    <s v="user_161"/>
    <s v="P100369"/>
    <x v="1"/>
    <x v="37"/>
    <n v="71355"/>
    <n v="686"/>
    <n v="9470"/>
    <n v="455"/>
    <n v="2032"/>
    <n v="24633"/>
    <n v="37001"/>
    <n v="0.16757059771564711"/>
    <n v="11"/>
    <n v="0"/>
    <n v="533"/>
    <n v="1771"/>
    <n v="43"/>
    <n v="11"/>
    <x v="16"/>
  </r>
  <r>
    <n v="3508"/>
    <s v="user_191"/>
    <s v="P100370"/>
    <x v="1"/>
    <x v="148"/>
    <n v="21767"/>
    <n v="1440"/>
    <n v="1288"/>
    <n v="156"/>
    <n v="263"/>
    <n v="2143"/>
    <n v="8513"/>
    <n v="7.8421463683557679E-2"/>
    <n v="17"/>
    <n v="0"/>
    <n v="28"/>
    <n v="244"/>
    <n v="18"/>
    <n v="9"/>
    <x v="3"/>
  </r>
  <r>
    <n v="5194"/>
    <s v="user_51"/>
    <s v="P100371"/>
    <x v="2"/>
    <x v="101"/>
    <n v="207718"/>
    <n v="248"/>
    <n v="24099"/>
    <n v="4270"/>
    <n v="6880"/>
    <n v="43878"/>
    <n v="98672"/>
    <n v="0.16969641533232555"/>
    <n v="23"/>
    <n v="41"/>
    <n v="2017"/>
    <n v="5594"/>
    <n v="144"/>
    <n v="7"/>
    <x v="4"/>
  </r>
  <r>
    <n v="5481"/>
    <s v="user_29"/>
    <s v="P100372"/>
    <x v="1"/>
    <x v="207"/>
    <n v="296719"/>
    <n v="888"/>
    <n v="12088"/>
    <n v="725"/>
    <n v="2545"/>
    <n v="23251"/>
    <n v="79518"/>
    <n v="5.1759408733515547E-2"/>
    <n v="18"/>
    <n v="0"/>
    <n v="906"/>
    <n v="1368"/>
    <n v="113"/>
    <n v="8"/>
    <x v="11"/>
  </r>
  <r>
    <n v="6798"/>
    <s v="user_292"/>
    <s v="P100373"/>
    <x v="2"/>
    <x v="90"/>
    <n v="148724"/>
    <n v="1963"/>
    <n v="13048"/>
    <n v="2318"/>
    <n v="2289"/>
    <n v="50043"/>
    <n v="77345"/>
    <n v="0.11870982491057261"/>
    <n v="17"/>
    <n v="45"/>
    <n v="1077"/>
    <n v="9683"/>
    <n v="392"/>
    <n v="23"/>
    <x v="13"/>
  </r>
  <r>
    <n v="8649"/>
    <s v="user_267"/>
    <s v="P100374"/>
    <x v="2"/>
    <x v="228"/>
    <n v="6559"/>
    <n v="1133"/>
    <n v="915"/>
    <n v="52"/>
    <n v="44"/>
    <n v="3179"/>
    <n v="5192"/>
    <n v="0.15413935051074859"/>
    <n v="5"/>
    <n v="43"/>
    <n v="22"/>
    <n v="400"/>
    <n v="17"/>
    <n v="18"/>
    <x v="1"/>
  </r>
  <r>
    <n v="4055"/>
    <s v="user_19"/>
    <s v="P100375"/>
    <x v="2"/>
    <x v="229"/>
    <n v="7935"/>
    <n v="1099"/>
    <n v="271"/>
    <n v="32"/>
    <n v="18"/>
    <n v="311"/>
    <n v="1465"/>
    <n v="4.0453686200378071E-2"/>
    <n v="15"/>
    <n v="22"/>
    <n v="26"/>
    <n v="38"/>
    <n v="2"/>
    <n v="16"/>
    <x v="8"/>
  </r>
  <r>
    <n v="7238"/>
    <s v="user_192"/>
    <s v="P100376"/>
    <x v="2"/>
    <x v="230"/>
    <n v="387008"/>
    <n v="1375"/>
    <n v="33051"/>
    <n v="2736"/>
    <n v="4633"/>
    <n v="84296"/>
    <n v="67143"/>
    <n v="0.10444228543079213"/>
    <n v="4"/>
    <n v="25"/>
    <n v="1752"/>
    <n v="12935"/>
    <n v="0"/>
    <n v="9"/>
    <x v="3"/>
  </r>
  <r>
    <n v="4784"/>
    <s v="user_26"/>
    <s v="P100377"/>
    <x v="0"/>
    <x v="231"/>
    <n v="54930"/>
    <n v="382"/>
    <n v="4629"/>
    <n v="555"/>
    <n v="113"/>
    <n v="5244"/>
    <n v="19307"/>
    <n v="9.6431822319315491E-2"/>
    <n v="14"/>
    <n v="0"/>
    <n v="148"/>
    <n v="586"/>
    <n v="0"/>
    <n v="21"/>
    <x v="7"/>
  </r>
  <r>
    <n v="4087"/>
    <s v="user_232"/>
    <s v="P100378"/>
    <x v="1"/>
    <x v="232"/>
    <n v="440569"/>
    <n v="202"/>
    <n v="61917"/>
    <n v="6853"/>
    <n v="15961"/>
    <n v="197395"/>
    <n v="468911"/>
    <n v="0.19232174755827122"/>
    <n v="4"/>
    <n v="0"/>
    <n v="1577"/>
    <n v="36775"/>
    <n v="0"/>
    <n v="21"/>
    <x v="7"/>
  </r>
  <r>
    <n v="5137"/>
    <s v="user_23"/>
    <s v="P100379"/>
    <x v="2"/>
    <x v="233"/>
    <n v="202744"/>
    <n v="1146"/>
    <n v="12975"/>
    <n v="904"/>
    <n v="3097"/>
    <n v="18626"/>
    <n v="56195"/>
    <n v="8.3731207828591725E-2"/>
    <n v="12"/>
    <n v="39"/>
    <n v="971"/>
    <n v="2340"/>
    <n v="0"/>
    <n v="8"/>
    <x v="11"/>
  </r>
  <r>
    <n v="8397"/>
    <s v="user_24"/>
    <s v="P100380"/>
    <x v="0"/>
    <x v="197"/>
    <n v="282334"/>
    <n v="1136"/>
    <n v="29553"/>
    <n v="3464"/>
    <n v="5502"/>
    <n v="55566"/>
    <n v="124930"/>
    <n v="0.13643061055345795"/>
    <n v="23"/>
    <n v="0"/>
    <n v="2157"/>
    <n v="9859"/>
    <n v="906"/>
    <n v="16"/>
    <x v="8"/>
  </r>
  <r>
    <n v="3098"/>
    <s v="user_202"/>
    <s v="P100381"/>
    <x v="1"/>
    <x v="234"/>
    <n v="155976"/>
    <n v="643"/>
    <n v="5886"/>
    <n v="620"/>
    <n v="867"/>
    <n v="7144"/>
    <n v="12951"/>
    <n v="4.7270092834795094E-2"/>
    <n v="7"/>
    <n v="0"/>
    <n v="157"/>
    <n v="980"/>
    <n v="4"/>
    <n v="16"/>
    <x v="8"/>
  </r>
  <r>
    <n v="7307"/>
    <s v="user_271"/>
    <s v="P100382"/>
    <x v="2"/>
    <x v="235"/>
    <n v="244366"/>
    <n v="694"/>
    <n v="21457"/>
    <n v="1468"/>
    <n v="2158"/>
    <n v="98001"/>
    <n v="46134"/>
    <n v="0.10264521250910519"/>
    <n v="15"/>
    <n v="30"/>
    <n v="496"/>
    <n v="13524"/>
    <n v="0"/>
    <n v="19"/>
    <x v="17"/>
  </r>
  <r>
    <n v="7754"/>
    <s v="user_272"/>
    <s v="P100383"/>
    <x v="2"/>
    <x v="236"/>
    <n v="310577"/>
    <n v="531"/>
    <n v="31595"/>
    <n v="1171"/>
    <n v="8943"/>
    <n v="50109"/>
    <n v="207179"/>
    <n v="0.13429519893617364"/>
    <n v="16"/>
    <n v="13"/>
    <n v="1940"/>
    <n v="9729"/>
    <n v="0"/>
    <n v="14"/>
    <x v="10"/>
  </r>
  <r>
    <n v="6889"/>
    <s v="user_25"/>
    <s v="P100384"/>
    <x v="1"/>
    <x v="185"/>
    <n v="319193"/>
    <n v="457"/>
    <n v="42731"/>
    <n v="7227"/>
    <n v="1859"/>
    <n v="118829"/>
    <n v="161791"/>
    <n v="0.16233751993308124"/>
    <n v="12"/>
    <n v="0"/>
    <n v="2430"/>
    <n v="23381"/>
    <n v="1186"/>
    <n v="18"/>
    <x v="1"/>
  </r>
  <r>
    <n v="8920"/>
    <s v="user_189"/>
    <s v="P100385"/>
    <x v="2"/>
    <x v="24"/>
    <n v="52686"/>
    <n v="1133"/>
    <n v="3370"/>
    <n v="528"/>
    <n v="911"/>
    <n v="11714"/>
    <n v="6972"/>
    <n v="9.1276619974945905E-2"/>
    <n v="15"/>
    <n v="43"/>
    <n v="301"/>
    <n v="1984"/>
    <n v="166"/>
    <n v="15"/>
    <x v="6"/>
  </r>
  <r>
    <n v="1436"/>
    <s v="user_216"/>
    <s v="P100386"/>
    <x v="1"/>
    <x v="136"/>
    <n v="252483"/>
    <n v="1807"/>
    <n v="3408"/>
    <n v="386"/>
    <n v="686"/>
    <n v="6776"/>
    <n v="14952"/>
    <n v="1.7743768887410243E-2"/>
    <n v="22"/>
    <n v="0"/>
    <n v="197"/>
    <n v="971"/>
    <n v="28"/>
    <n v="13"/>
    <x v="14"/>
  </r>
  <r>
    <n v="3458"/>
    <s v="user_282"/>
    <s v="P100387"/>
    <x v="2"/>
    <x v="33"/>
    <n v="325411"/>
    <n v="1564"/>
    <n v="18356"/>
    <n v="3343"/>
    <n v="2533"/>
    <n v="82504"/>
    <n v="112997"/>
    <n v="7.4465829366554909E-2"/>
    <n v="8"/>
    <n v="17"/>
    <n v="597"/>
    <n v="7196"/>
    <n v="0"/>
    <n v="18"/>
    <x v="1"/>
  </r>
  <r>
    <n v="5481"/>
    <s v="user_19"/>
    <s v="P100388"/>
    <x v="2"/>
    <x v="237"/>
    <n v="53909"/>
    <n v="1104"/>
    <n v="4434"/>
    <n v="112"/>
    <n v="587"/>
    <n v="20959"/>
    <n v="10889"/>
    <n v="9.5216012168654579E-2"/>
    <n v="12"/>
    <n v="31"/>
    <n v="158"/>
    <n v="3670"/>
    <n v="0"/>
    <n v="11"/>
    <x v="16"/>
  </r>
  <r>
    <n v="2567"/>
    <s v="user_167"/>
    <s v="P100389"/>
    <x v="2"/>
    <x v="211"/>
    <n v="327738"/>
    <n v="1253"/>
    <n v="37875"/>
    <n v="1046"/>
    <n v="6122"/>
    <n v="57849"/>
    <n v="91591"/>
    <n v="0.13743600070788251"/>
    <n v="20"/>
    <n v="44"/>
    <n v="2689"/>
    <n v="4865"/>
    <n v="352"/>
    <n v="20"/>
    <x v="5"/>
  </r>
  <r>
    <n v="7618"/>
    <s v="user_230"/>
    <s v="P100390"/>
    <x v="1"/>
    <x v="238"/>
    <n v="143439"/>
    <n v="230"/>
    <n v="14421"/>
    <n v="2169"/>
    <n v="1213"/>
    <n v="68441"/>
    <n v="66434"/>
    <n v="0.12411547765949288"/>
    <n v="14"/>
    <n v="0"/>
    <n v="1118"/>
    <n v="11113"/>
    <n v="214"/>
    <n v="10"/>
    <x v="12"/>
  </r>
  <r>
    <n v="3499"/>
    <s v="user_209"/>
    <s v="P100391"/>
    <x v="0"/>
    <x v="147"/>
    <n v="319422"/>
    <n v="560"/>
    <n v="39086"/>
    <n v="3611"/>
    <n v="3398"/>
    <n v="117714"/>
    <n v="264642"/>
    <n v="0.14430753047692393"/>
    <n v="23"/>
    <n v="0"/>
    <n v="3679"/>
    <n v="19519"/>
    <n v="0"/>
    <n v="11"/>
    <x v="16"/>
  </r>
  <r>
    <n v="3080"/>
    <s v="user_76"/>
    <s v="P100392"/>
    <x v="1"/>
    <x v="239"/>
    <n v="110046"/>
    <n v="1374"/>
    <n v="2552"/>
    <n v="22"/>
    <n v="193"/>
    <n v="9413"/>
    <n v="15557"/>
    <n v="2.5144030678080076E-2"/>
    <n v="13"/>
    <n v="0"/>
    <n v="56"/>
    <n v="757"/>
    <n v="0"/>
    <n v="15"/>
    <x v="6"/>
  </r>
  <r>
    <n v="4230"/>
    <s v="user_84"/>
    <s v="P100393"/>
    <x v="0"/>
    <x v="85"/>
    <n v="118641"/>
    <n v="1840"/>
    <n v="4857"/>
    <n v="586"/>
    <n v="262"/>
    <n v="23511"/>
    <n v="20241"/>
    <n v="4.8086243372864358E-2"/>
    <n v="16"/>
    <n v="0"/>
    <n v="283"/>
    <n v="1631"/>
    <n v="161"/>
    <n v="15"/>
    <x v="6"/>
  </r>
  <r>
    <n v="7517"/>
    <s v="user_154"/>
    <s v="P100394"/>
    <x v="2"/>
    <x v="240"/>
    <n v="200656"/>
    <n v="1843"/>
    <n v="15784"/>
    <n v="1633"/>
    <n v="1358"/>
    <n v="58745"/>
    <n v="58216"/>
    <n v="9.3568096643010926E-2"/>
    <n v="19"/>
    <n v="33"/>
    <n v="699"/>
    <n v="9509"/>
    <n v="0"/>
    <n v="19"/>
    <x v="17"/>
  </r>
  <r>
    <n v="6567"/>
    <s v="user_99"/>
    <s v="P100395"/>
    <x v="1"/>
    <x v="80"/>
    <n v="480225"/>
    <n v="1975"/>
    <n v="50820"/>
    <n v="2856"/>
    <n v="10660"/>
    <n v="101438"/>
    <n v="178821"/>
    <n v="0.13397053464521838"/>
    <n v="4"/>
    <n v="0"/>
    <n v="2467"/>
    <n v="20075"/>
    <n v="718"/>
    <n v="14"/>
    <x v="10"/>
  </r>
  <r>
    <n v="8992"/>
    <s v="user_74"/>
    <s v="P100396"/>
    <x v="0"/>
    <x v="210"/>
    <n v="249457"/>
    <n v="527"/>
    <n v="14321"/>
    <n v="2393"/>
    <n v="2007"/>
    <n v="46881"/>
    <n v="83942"/>
    <n v="7.5047002088536305E-2"/>
    <n v="19"/>
    <n v="0"/>
    <n v="1057"/>
    <n v="2735"/>
    <n v="36"/>
    <n v="13"/>
    <x v="14"/>
  </r>
  <r>
    <n v="8382"/>
    <s v="user_125"/>
    <s v="P100397"/>
    <x v="1"/>
    <x v="192"/>
    <n v="464026"/>
    <n v="747"/>
    <n v="9977"/>
    <n v="232"/>
    <n v="1333"/>
    <n v="17894"/>
    <n v="28091"/>
    <n v="2.4873606220341102E-2"/>
    <n v="7"/>
    <n v="0"/>
    <n v="354"/>
    <n v="1948"/>
    <n v="126"/>
    <n v="8"/>
    <x v="11"/>
  </r>
  <r>
    <n v="3208"/>
    <s v="user_192"/>
    <s v="P100398"/>
    <x v="2"/>
    <x v="230"/>
    <n v="177118"/>
    <n v="1643"/>
    <n v="14016"/>
    <n v="659"/>
    <n v="1263"/>
    <n v="65350"/>
    <n v="32944"/>
    <n v="8.9985207601711859E-2"/>
    <n v="16"/>
    <n v="39"/>
    <n v="958"/>
    <n v="5011"/>
    <n v="283"/>
    <n v="10"/>
    <x v="12"/>
  </r>
  <r>
    <n v="9504"/>
    <s v="user_223"/>
    <s v="P100399"/>
    <x v="0"/>
    <x v="51"/>
    <n v="339482"/>
    <n v="1804"/>
    <n v="19201"/>
    <n v="23"/>
    <n v="71"/>
    <n v="86481"/>
    <n v="141692"/>
    <n v="5.6836592219911511E-2"/>
    <n v="23"/>
    <n v="0"/>
    <n v="863"/>
    <n v="9062"/>
    <n v="325"/>
    <n v="13"/>
    <x v="14"/>
  </r>
  <r>
    <n v="6360"/>
    <s v="user_212"/>
    <s v="P100400"/>
    <x v="1"/>
    <x v="94"/>
    <n v="137540"/>
    <n v="1451"/>
    <n v="18280"/>
    <n v="3120"/>
    <n v="4677"/>
    <n v="64552"/>
    <n v="122124"/>
    <n v="0.18959575396248365"/>
    <n v="5"/>
    <n v="0"/>
    <n v="600"/>
    <n v="5169"/>
    <n v="415"/>
    <n v="13"/>
    <x v="14"/>
  </r>
  <r>
    <n v="2558"/>
    <s v="user_96"/>
    <s v="P100401"/>
    <x v="0"/>
    <x v="241"/>
    <n v="360315"/>
    <n v="746"/>
    <n v="47295"/>
    <n v="6322"/>
    <n v="4635"/>
    <n v="103821"/>
    <n v="371315"/>
    <n v="0.1616696501672148"/>
    <n v="6"/>
    <n v="0"/>
    <n v="3400"/>
    <n v="19169"/>
    <n v="800"/>
    <n v="14"/>
    <x v="10"/>
  </r>
  <r>
    <n v="1274"/>
    <s v="user_244"/>
    <s v="P100402"/>
    <x v="2"/>
    <x v="79"/>
    <n v="322369"/>
    <n v="1495"/>
    <n v="47048"/>
    <n v="1570"/>
    <n v="10895"/>
    <n v="105578"/>
    <n v="328044"/>
    <n v="0.18461142355499444"/>
    <n v="4"/>
    <n v="41"/>
    <n v="1700"/>
    <n v="17604"/>
    <n v="0"/>
    <n v="22"/>
    <x v="0"/>
  </r>
  <r>
    <n v="5871"/>
    <s v="user_251"/>
    <s v="P100403"/>
    <x v="2"/>
    <x v="237"/>
    <n v="153643"/>
    <n v="1185"/>
    <n v="14017"/>
    <n v="825"/>
    <n v="4132"/>
    <n v="43576"/>
    <n v="98226"/>
    <n v="0.12349407392461746"/>
    <n v="5"/>
    <n v="30"/>
    <n v="859"/>
    <n v="7884"/>
    <n v="0"/>
    <n v="14"/>
    <x v="10"/>
  </r>
  <r>
    <n v="1554"/>
    <s v="user_259"/>
    <s v="P100404"/>
    <x v="0"/>
    <x v="242"/>
    <n v="257386"/>
    <n v="1161"/>
    <n v="2723"/>
    <n v="293"/>
    <n v="540"/>
    <n v="7413"/>
    <n v="9354"/>
    <n v="1.3815825258561072E-2"/>
    <n v="7"/>
    <n v="0"/>
    <n v="134"/>
    <n v="880"/>
    <n v="0"/>
    <n v="17"/>
    <x v="15"/>
  </r>
  <r>
    <n v="7063"/>
    <s v="user_70"/>
    <s v="P100405"/>
    <x v="0"/>
    <x v="212"/>
    <n v="306420"/>
    <n v="1540"/>
    <n v="8013"/>
    <n v="221"/>
    <n v="2275"/>
    <n v="23779"/>
    <n v="63421"/>
    <n v="3.4296064225572742E-2"/>
    <n v="8"/>
    <n v="0"/>
    <n v="255"/>
    <n v="3380"/>
    <n v="92"/>
    <n v="8"/>
    <x v="11"/>
  </r>
  <r>
    <n v="2171"/>
    <s v="user_21"/>
    <s v="P100406"/>
    <x v="2"/>
    <x v="243"/>
    <n v="397905"/>
    <n v="1593"/>
    <n v="40105"/>
    <n v="1557"/>
    <n v="7584"/>
    <n v="86976"/>
    <n v="280697"/>
    <n v="0.12376320981138714"/>
    <n v="9"/>
    <n v="43"/>
    <n v="3642"/>
    <n v="8532"/>
    <n v="585"/>
    <n v="20"/>
    <x v="5"/>
  </r>
  <r>
    <n v="3459"/>
    <s v="user_58"/>
    <s v="P100407"/>
    <x v="0"/>
    <x v="171"/>
    <n v="118969"/>
    <n v="1002"/>
    <n v="14540"/>
    <n v="2675"/>
    <n v="4175"/>
    <n v="61028"/>
    <n v="50368"/>
    <n v="0.17979473644394758"/>
    <n v="12"/>
    <n v="0"/>
    <n v="1447"/>
    <n v="10179"/>
    <n v="593"/>
    <n v="12"/>
    <x v="9"/>
  </r>
  <r>
    <n v="7243"/>
    <s v="user_274"/>
    <s v="P100408"/>
    <x v="2"/>
    <x v="204"/>
    <n v="237534"/>
    <n v="1146"/>
    <n v="5888"/>
    <n v="146"/>
    <n v="533"/>
    <n v="7188"/>
    <n v="31117"/>
    <n v="2.764656849124757E-2"/>
    <n v="18"/>
    <n v="22"/>
    <n v="327"/>
    <n v="881"/>
    <n v="76"/>
    <n v="10"/>
    <x v="12"/>
  </r>
  <r>
    <n v="6891"/>
    <s v="user_250"/>
    <s v="P100409"/>
    <x v="0"/>
    <x v="244"/>
    <n v="181714"/>
    <n v="1479"/>
    <n v="20436"/>
    <n v="575"/>
    <n v="4368"/>
    <n v="47062"/>
    <n v="59877"/>
    <n v="0.13966452777441474"/>
    <n v="20"/>
    <n v="0"/>
    <n v="1361"/>
    <n v="3939"/>
    <n v="0"/>
    <n v="13"/>
    <x v="14"/>
  </r>
  <r>
    <n v="3995"/>
    <s v="user_201"/>
    <s v="P100410"/>
    <x v="1"/>
    <x v="245"/>
    <n v="45494"/>
    <n v="1085"/>
    <n v="3592"/>
    <n v="184"/>
    <n v="1028"/>
    <n v="10903"/>
    <n v="16655"/>
    <n v="0.10559634237481866"/>
    <n v="13"/>
    <n v="0"/>
    <n v="148"/>
    <n v="1226"/>
    <n v="63"/>
    <n v="10"/>
    <x v="12"/>
  </r>
  <r>
    <n v="3063"/>
    <s v="user_30"/>
    <s v="P100411"/>
    <x v="1"/>
    <x v="246"/>
    <n v="431157"/>
    <n v="1651"/>
    <n v="37563"/>
    <n v="483"/>
    <n v="1499"/>
    <n v="40649"/>
    <n v="150502"/>
    <n v="9.1718329981885949E-2"/>
    <n v="4"/>
    <n v="0"/>
    <n v="1999"/>
    <n v="2117"/>
    <n v="0"/>
    <n v="10"/>
    <x v="12"/>
  </r>
  <r>
    <n v="8909"/>
    <s v="user_178"/>
    <s v="P100412"/>
    <x v="2"/>
    <x v="238"/>
    <n v="266542"/>
    <n v="1846"/>
    <n v="31242"/>
    <n v="4445"/>
    <n v="4591"/>
    <n v="144043"/>
    <n v="83343"/>
    <n v="0.15111314539547238"/>
    <n v="3"/>
    <n v="15"/>
    <n v="1986"/>
    <n v="14899"/>
    <n v="752"/>
    <n v="20"/>
    <x v="5"/>
  </r>
  <r>
    <n v="1250"/>
    <s v="user_147"/>
    <s v="P100413"/>
    <x v="1"/>
    <x v="227"/>
    <n v="295496"/>
    <n v="1103"/>
    <n v="40513"/>
    <n v="6027"/>
    <n v="4314"/>
    <n v="145587"/>
    <n v="322764"/>
    <n v="0.17209708422449035"/>
    <n v="25"/>
    <n v="0"/>
    <n v="1210"/>
    <n v="13731"/>
    <n v="899"/>
    <n v="11"/>
    <x v="16"/>
  </r>
  <r>
    <n v="5816"/>
    <s v="user_128"/>
    <s v="P100414"/>
    <x v="1"/>
    <x v="10"/>
    <n v="404762"/>
    <n v="1958"/>
    <n v="28020"/>
    <n v="494"/>
    <n v="547"/>
    <n v="120351"/>
    <n v="148206"/>
    <n v="7.1797747812294629E-2"/>
    <n v="6"/>
    <n v="0"/>
    <n v="2145"/>
    <n v="17830"/>
    <n v="1648"/>
    <n v="10"/>
    <x v="12"/>
  </r>
  <r>
    <n v="6488"/>
    <s v="user_53"/>
    <s v="P100415"/>
    <x v="2"/>
    <x v="242"/>
    <n v="340611"/>
    <n v="1803"/>
    <n v="272"/>
    <n v="31"/>
    <n v="11"/>
    <n v="1026"/>
    <n v="1846"/>
    <n v="9.2187275220119143E-4"/>
    <n v="11"/>
    <n v="3"/>
    <n v="18"/>
    <n v="179"/>
    <n v="0"/>
    <n v="18"/>
    <x v="1"/>
  </r>
  <r>
    <n v="9776"/>
    <s v="user_59"/>
    <s v="P100416"/>
    <x v="2"/>
    <x v="247"/>
    <n v="416031"/>
    <n v="611"/>
    <n v="58129"/>
    <n v="6312"/>
    <n v="15583"/>
    <n v="222788"/>
    <n v="117250"/>
    <n v="0.1923510507630441"/>
    <n v="15"/>
    <n v="32"/>
    <n v="3054"/>
    <n v="20349"/>
    <n v="709"/>
    <n v="6"/>
    <x v="2"/>
  </r>
  <r>
    <n v="1099"/>
    <s v="user_17"/>
    <s v="P100417"/>
    <x v="2"/>
    <x v="12"/>
    <n v="209838"/>
    <n v="527"/>
    <n v="23370"/>
    <n v="882"/>
    <n v="4039"/>
    <n v="71208"/>
    <n v="74213"/>
    <n v="0.13482305397497116"/>
    <n v="21"/>
    <n v="14"/>
    <n v="2206"/>
    <n v="12985"/>
    <n v="643"/>
    <n v="16"/>
    <x v="8"/>
  </r>
  <r>
    <n v="1666"/>
    <s v="user_237"/>
    <s v="P100418"/>
    <x v="1"/>
    <x v="114"/>
    <n v="347616"/>
    <n v="1090"/>
    <n v="44542"/>
    <n v="6002"/>
    <n v="2650"/>
    <n v="105316"/>
    <n v="277747"/>
    <n v="0.15302517720703304"/>
    <n v="16"/>
    <n v="0"/>
    <n v="1013"/>
    <n v="9691"/>
    <n v="853"/>
    <n v="15"/>
    <x v="6"/>
  </r>
  <r>
    <n v="8345"/>
    <s v="user_136"/>
    <s v="P100419"/>
    <x v="1"/>
    <x v="160"/>
    <n v="208797"/>
    <n v="643"/>
    <n v="8391"/>
    <n v="1263"/>
    <n v="2207"/>
    <n v="29637"/>
    <n v="19245"/>
    <n v="5.6806371739057553E-2"/>
    <n v="24"/>
    <n v="0"/>
    <n v="784"/>
    <n v="2495"/>
    <n v="134"/>
    <n v="11"/>
    <x v="16"/>
  </r>
  <r>
    <n v="6930"/>
    <s v="user_280"/>
    <s v="P100420"/>
    <x v="1"/>
    <x v="224"/>
    <n v="28883"/>
    <n v="1182"/>
    <n v="2419"/>
    <n v="294"/>
    <n v="124"/>
    <n v="11535"/>
    <n v="8191"/>
    <n v="9.8223868711698928E-2"/>
    <n v="5"/>
    <n v="0"/>
    <n v="117"/>
    <n v="1481"/>
    <n v="80"/>
    <n v="13"/>
    <x v="14"/>
  </r>
  <r>
    <n v="8260"/>
    <s v="user_20"/>
    <s v="P100421"/>
    <x v="0"/>
    <x v="248"/>
    <n v="333194"/>
    <n v="1519"/>
    <n v="25514"/>
    <n v="793"/>
    <n v="4123"/>
    <n v="115030"/>
    <n v="162978"/>
    <n v="9.132817517722408E-2"/>
    <n v="24"/>
    <n v="0"/>
    <n v="2051"/>
    <n v="15178"/>
    <n v="1424"/>
    <n v="13"/>
    <x v="14"/>
  </r>
  <r>
    <n v="6398"/>
    <s v="user_70"/>
    <s v="P100422"/>
    <x v="0"/>
    <x v="136"/>
    <n v="140214"/>
    <n v="192"/>
    <n v="1141"/>
    <n v="11"/>
    <n v="57"/>
    <n v="4879"/>
    <n v="8213"/>
    <n v="8.6225341264067785E-3"/>
    <n v="7"/>
    <n v="0"/>
    <n v="63"/>
    <n v="776"/>
    <n v="0"/>
    <n v="6"/>
    <x v="2"/>
  </r>
  <r>
    <n v="7932"/>
    <s v="user_24"/>
    <s v="P100423"/>
    <x v="0"/>
    <x v="135"/>
    <n v="257534"/>
    <n v="1108"/>
    <n v="18372"/>
    <n v="3409"/>
    <n v="1947"/>
    <n v="50549"/>
    <n v="68674"/>
    <n v="9.2135407363687902E-2"/>
    <n v="10"/>
    <n v="0"/>
    <n v="421"/>
    <n v="5439"/>
    <n v="0"/>
    <n v="16"/>
    <x v="8"/>
  </r>
  <r>
    <n v="5128"/>
    <s v="user_138"/>
    <s v="P100424"/>
    <x v="2"/>
    <x v="235"/>
    <n v="137909"/>
    <n v="1186"/>
    <n v="8614"/>
    <n v="561"/>
    <n v="863"/>
    <n v="33804"/>
    <n v="33758"/>
    <n v="7.2787127743657046E-2"/>
    <n v="9"/>
    <n v="29"/>
    <n v="607"/>
    <n v="2616"/>
    <n v="47"/>
    <n v="20"/>
    <x v="5"/>
  </r>
  <r>
    <n v="5086"/>
    <s v="user_48"/>
    <s v="P100425"/>
    <x v="1"/>
    <x v="240"/>
    <n v="432007"/>
    <n v="437"/>
    <n v="41294"/>
    <n v="6807"/>
    <n v="7633"/>
    <n v="191716"/>
    <n v="249403"/>
    <n v="0.12901179841993302"/>
    <n v="18"/>
    <n v="0"/>
    <n v="1258"/>
    <n v="29229"/>
    <n v="0"/>
    <n v="11"/>
    <x v="16"/>
  </r>
  <r>
    <n v="3423"/>
    <s v="user_214"/>
    <s v="P100426"/>
    <x v="2"/>
    <x v="249"/>
    <n v="167241"/>
    <n v="459"/>
    <n v="19387"/>
    <n v="1074"/>
    <n v="3100"/>
    <n v="22669"/>
    <n v="135524"/>
    <n v="0.14088052570840881"/>
    <n v="23"/>
    <n v="24"/>
    <n v="1081"/>
    <n v="2967"/>
    <n v="177"/>
    <n v="15"/>
    <x v="6"/>
  </r>
  <r>
    <n v="9661"/>
    <s v="user_232"/>
    <s v="P100427"/>
    <x v="0"/>
    <x v="39"/>
    <n v="377765"/>
    <n v="1823"/>
    <n v="55574"/>
    <n v="8356"/>
    <n v="13926"/>
    <n v="100420"/>
    <n v="266214"/>
    <n v="0.20609638267176683"/>
    <n v="24"/>
    <n v="0"/>
    <n v="3437"/>
    <n v="16473"/>
    <n v="1584"/>
    <n v="22"/>
    <x v="0"/>
  </r>
  <r>
    <n v="8069"/>
    <s v="user_21"/>
    <s v="P100428"/>
    <x v="1"/>
    <x v="125"/>
    <n v="87726"/>
    <n v="536"/>
    <n v="4167"/>
    <n v="217"/>
    <n v="440"/>
    <n v="9735"/>
    <n v="23893"/>
    <n v="5.4989398809930923E-2"/>
    <n v="23"/>
    <n v="0"/>
    <n v="413"/>
    <n v="1222"/>
    <n v="44"/>
    <n v="23"/>
    <x v="13"/>
  </r>
  <r>
    <n v="7998"/>
    <s v="user_31"/>
    <s v="P100429"/>
    <x v="1"/>
    <x v="234"/>
    <n v="233002"/>
    <n v="824"/>
    <n v="27964"/>
    <n v="2040"/>
    <n v="3853"/>
    <n v="104400"/>
    <n v="150336"/>
    <n v="0.14530776559857855"/>
    <n v="8"/>
    <n v="0"/>
    <n v="2190"/>
    <n v="11553"/>
    <n v="0"/>
    <n v="11"/>
    <x v="16"/>
  </r>
  <r>
    <n v="1287"/>
    <s v="user_245"/>
    <s v="P100430"/>
    <x v="2"/>
    <x v="5"/>
    <n v="347279"/>
    <n v="1446"/>
    <n v="48540"/>
    <n v="2791"/>
    <n v="5752"/>
    <n v="104334"/>
    <n v="222479"/>
    <n v="0.16437216186409198"/>
    <n v="20"/>
    <n v="14"/>
    <n v="1300"/>
    <n v="5956"/>
    <n v="0"/>
    <n v="15"/>
    <x v="6"/>
  </r>
  <r>
    <n v="4555"/>
    <s v="user_274"/>
    <s v="P100431"/>
    <x v="1"/>
    <x v="180"/>
    <n v="136993"/>
    <n v="844"/>
    <n v="15221"/>
    <n v="1531"/>
    <n v="1206"/>
    <n v="67255"/>
    <n v="78761"/>
    <n v="0.13108698984619652"/>
    <n v="4"/>
    <n v="0"/>
    <n v="540"/>
    <n v="6547"/>
    <n v="396"/>
    <n v="18"/>
    <x v="1"/>
  </r>
  <r>
    <n v="7035"/>
    <s v="user_150"/>
    <s v="P100432"/>
    <x v="0"/>
    <x v="131"/>
    <n v="155410"/>
    <n v="1267"/>
    <n v="16377"/>
    <n v="527"/>
    <n v="3579"/>
    <n v="20307"/>
    <n v="70269"/>
    <n v="0.13179975548549"/>
    <n v="3"/>
    <n v="0"/>
    <n v="1150"/>
    <n v="1860"/>
    <n v="84"/>
    <n v="16"/>
    <x v="8"/>
  </r>
  <r>
    <n v="7447"/>
    <s v="user_167"/>
    <s v="P100433"/>
    <x v="0"/>
    <x v="27"/>
    <n v="355952"/>
    <n v="1974"/>
    <n v="26602"/>
    <n v="4535"/>
    <n v="4276"/>
    <n v="92336"/>
    <n v="138157"/>
    <n v="9.9488133231446937E-2"/>
    <n v="17"/>
    <n v="0"/>
    <n v="1838"/>
    <n v="4785"/>
    <n v="82"/>
    <n v="10"/>
    <x v="12"/>
  </r>
  <r>
    <n v="8329"/>
    <s v="user_261"/>
    <s v="P100434"/>
    <x v="2"/>
    <x v="118"/>
    <n v="353332"/>
    <n v="212"/>
    <n v="43623"/>
    <n v="4195"/>
    <n v="3824"/>
    <n v="196966"/>
    <n v="130596"/>
    <n v="0.14615715531002005"/>
    <n v="14"/>
    <n v="18"/>
    <n v="2521"/>
    <n v="33501"/>
    <n v="0"/>
    <n v="16"/>
    <x v="8"/>
  </r>
  <r>
    <n v="3683"/>
    <s v="user_37"/>
    <s v="P100435"/>
    <x v="1"/>
    <x v="91"/>
    <n v="78305"/>
    <n v="876"/>
    <n v="6138"/>
    <n v="1010"/>
    <n v="1024"/>
    <n v="13081"/>
    <n v="39635"/>
    <n v="0.10436115190600856"/>
    <n v="23"/>
    <n v="0"/>
    <n v="173"/>
    <n v="1992"/>
    <n v="0"/>
    <n v="22"/>
    <x v="0"/>
  </r>
  <r>
    <n v="4655"/>
    <s v="user_197"/>
    <s v="P100436"/>
    <x v="1"/>
    <x v="250"/>
    <n v="145995"/>
    <n v="731"/>
    <n v="19193"/>
    <n v="1926"/>
    <n v="2777"/>
    <n v="72432"/>
    <n v="106242"/>
    <n v="0.1636768382478852"/>
    <n v="17"/>
    <n v="0"/>
    <n v="1755"/>
    <n v="10150"/>
    <n v="957"/>
    <n v="10"/>
    <x v="12"/>
  </r>
  <r>
    <n v="3481"/>
    <s v="user_117"/>
    <s v="P100437"/>
    <x v="0"/>
    <x v="217"/>
    <n v="207672"/>
    <n v="734"/>
    <n v="27963"/>
    <n v="3607"/>
    <n v="2040"/>
    <n v="74082"/>
    <n v="80064"/>
    <n v="0.16184175045263685"/>
    <n v="10"/>
    <n v="0"/>
    <n v="748"/>
    <n v="7278"/>
    <n v="212"/>
    <n v="12"/>
    <x v="9"/>
  </r>
  <r>
    <n v="1251"/>
    <s v="user_215"/>
    <s v="P100438"/>
    <x v="0"/>
    <x v="251"/>
    <n v="170912"/>
    <n v="1303"/>
    <n v="20625"/>
    <n v="4100"/>
    <n v="2616"/>
    <n v="64633"/>
    <n v="145843"/>
    <n v="0.15997121325594457"/>
    <n v="24"/>
    <n v="0"/>
    <n v="1267"/>
    <n v="8779"/>
    <n v="814"/>
    <n v="19"/>
    <x v="17"/>
  </r>
  <r>
    <n v="8610"/>
    <s v="user_257"/>
    <s v="P100439"/>
    <x v="1"/>
    <x v="132"/>
    <n v="310604"/>
    <n v="656"/>
    <n v="31292"/>
    <n v="740"/>
    <n v="6949"/>
    <n v="105362"/>
    <n v="211128"/>
    <n v="0.1255006374676437"/>
    <n v="6"/>
    <n v="0"/>
    <n v="774"/>
    <n v="9673"/>
    <n v="703"/>
    <n v="17"/>
    <x v="15"/>
  </r>
  <r>
    <n v="4093"/>
    <s v="user_256"/>
    <s v="P100440"/>
    <x v="2"/>
    <x v="185"/>
    <n v="255628"/>
    <n v="1836"/>
    <n v="9428"/>
    <n v="1570"/>
    <n v="1578"/>
    <n v="23475"/>
    <n v="74132"/>
    <n v="4.9196488647565997E-2"/>
    <n v="11"/>
    <n v="45"/>
    <n v="734"/>
    <n v="4562"/>
    <n v="0"/>
    <n v="9"/>
    <x v="3"/>
  </r>
  <r>
    <n v="9056"/>
    <s v="user_300"/>
    <s v="P100441"/>
    <x v="0"/>
    <x v="252"/>
    <n v="400147"/>
    <n v="1348"/>
    <n v="27329"/>
    <n v="1237"/>
    <n v="3861"/>
    <n v="47730"/>
    <n v="133272"/>
    <n v="8.1037718638400383E-2"/>
    <n v="6"/>
    <n v="0"/>
    <n v="649"/>
    <n v="5766"/>
    <n v="230"/>
    <n v="10"/>
    <x v="12"/>
  </r>
  <r>
    <n v="1278"/>
    <s v="user_91"/>
    <s v="P100442"/>
    <x v="0"/>
    <x v="82"/>
    <n v="98574"/>
    <n v="766"/>
    <n v="9906"/>
    <n v="267"/>
    <n v="919"/>
    <n v="26655"/>
    <n v="60138"/>
    <n v="0.11252460080751517"/>
    <n v="21"/>
    <n v="0"/>
    <n v="601"/>
    <n v="4837"/>
    <n v="0"/>
    <n v="8"/>
    <x v="11"/>
  </r>
  <r>
    <n v="4371"/>
    <s v="user_209"/>
    <s v="P100443"/>
    <x v="1"/>
    <x v="32"/>
    <n v="472252"/>
    <n v="655"/>
    <n v="46569"/>
    <n v="7735"/>
    <n v="3619"/>
    <n v="150923"/>
    <n v="164405"/>
    <n v="0.12265273625098465"/>
    <n v="25"/>
    <n v="0"/>
    <n v="2603"/>
    <n v="27947"/>
    <n v="0"/>
    <n v="13"/>
    <x v="14"/>
  </r>
  <r>
    <n v="8351"/>
    <s v="user_10"/>
    <s v="P100444"/>
    <x v="2"/>
    <x v="253"/>
    <n v="308449"/>
    <n v="980"/>
    <n v="11395"/>
    <n v="909"/>
    <n v="3255"/>
    <n v="26279"/>
    <n v="83809"/>
    <n v="5.0442698792993332E-2"/>
    <n v="7"/>
    <n v="31"/>
    <n v="593"/>
    <n v="4889"/>
    <n v="0"/>
    <n v="14"/>
    <x v="10"/>
  </r>
  <r>
    <n v="4947"/>
    <s v="user_237"/>
    <s v="P100445"/>
    <x v="1"/>
    <x v="146"/>
    <n v="104009"/>
    <n v="1419"/>
    <n v="13907"/>
    <n v="1020"/>
    <n v="654"/>
    <n v="47467"/>
    <n v="100263"/>
    <n v="0.14980434385485872"/>
    <n v="4"/>
    <n v="0"/>
    <n v="294"/>
    <n v="6049"/>
    <n v="10"/>
    <n v="7"/>
    <x v="4"/>
  </r>
  <r>
    <n v="3610"/>
    <s v="user_147"/>
    <s v="P100446"/>
    <x v="2"/>
    <x v="94"/>
    <n v="336589"/>
    <n v="1219"/>
    <n v="39355"/>
    <n v="5892"/>
    <n v="1786"/>
    <n v="72731"/>
    <n v="229748"/>
    <n v="0.139734215913176"/>
    <n v="23"/>
    <n v="25"/>
    <n v="881"/>
    <n v="13180"/>
    <n v="0"/>
    <n v="8"/>
    <x v="11"/>
  </r>
  <r>
    <n v="5358"/>
    <s v="user_290"/>
    <s v="P100447"/>
    <x v="2"/>
    <x v="165"/>
    <n v="103906"/>
    <n v="1049"/>
    <n v="12226"/>
    <n v="435"/>
    <n v="3088"/>
    <n v="13544"/>
    <n v="68383"/>
    <n v="0.1515696879872192"/>
    <n v="18"/>
    <n v="21"/>
    <n v="775"/>
    <n v="1915"/>
    <n v="0"/>
    <n v="22"/>
    <x v="0"/>
  </r>
  <r>
    <n v="9961"/>
    <s v="user_202"/>
    <s v="P100448"/>
    <x v="1"/>
    <x v="79"/>
    <n v="275729"/>
    <n v="521"/>
    <n v="38373"/>
    <n v="354"/>
    <n v="6995"/>
    <n v="66244"/>
    <n v="203577"/>
    <n v="0.16582223850229755"/>
    <n v="22"/>
    <n v="0"/>
    <n v="3532"/>
    <n v="11880"/>
    <n v="67"/>
    <n v="19"/>
    <x v="17"/>
  </r>
  <r>
    <n v="4714"/>
    <s v="user_118"/>
    <s v="P100449"/>
    <x v="0"/>
    <x v="254"/>
    <n v="55933"/>
    <n v="477"/>
    <n v="3962"/>
    <n v="311"/>
    <n v="1120"/>
    <n v="18179"/>
    <n v="12799"/>
    <n v="9.6418929790999947E-2"/>
    <n v="12"/>
    <n v="0"/>
    <n v="170"/>
    <n v="2712"/>
    <n v="84"/>
    <n v="11"/>
    <x v="16"/>
  </r>
  <r>
    <n v="4685"/>
    <s v="user_23"/>
    <s v="P100450"/>
    <x v="0"/>
    <x v="213"/>
    <n v="120314"/>
    <n v="400"/>
    <n v="12004"/>
    <n v="1927"/>
    <n v="2288"/>
    <n v="33649"/>
    <n v="92411"/>
    <n v="0.13480559203417725"/>
    <n v="4"/>
    <n v="0"/>
    <n v="735"/>
    <n v="2788"/>
    <n v="264"/>
    <n v="23"/>
    <x v="13"/>
  </r>
  <r>
    <n v="2771"/>
    <s v="user_34"/>
    <s v="P100451"/>
    <x v="1"/>
    <x v="215"/>
    <n v="153659"/>
    <n v="1379"/>
    <n v="13665"/>
    <n v="1792"/>
    <n v="925"/>
    <n v="29920"/>
    <n v="52226"/>
    <n v="0.10661269434266786"/>
    <n v="5"/>
    <n v="0"/>
    <n v="1061"/>
    <n v="2865"/>
    <n v="0"/>
    <n v="23"/>
    <x v="13"/>
  </r>
  <r>
    <n v="6787"/>
    <s v="user_240"/>
    <s v="P100452"/>
    <x v="1"/>
    <x v="141"/>
    <n v="354938"/>
    <n v="1223"/>
    <n v="9859"/>
    <n v="1365"/>
    <n v="1673"/>
    <n v="26862"/>
    <n v="78411"/>
    <n v="3.633592345705447E-2"/>
    <n v="7"/>
    <n v="0"/>
    <n v="852"/>
    <n v="5154"/>
    <n v="0"/>
    <n v="9"/>
    <x v="3"/>
  </r>
  <r>
    <n v="3619"/>
    <s v="user_114"/>
    <s v="P100453"/>
    <x v="0"/>
    <x v="108"/>
    <n v="364890"/>
    <n v="285"/>
    <n v="51560"/>
    <n v="1122"/>
    <n v="13849"/>
    <n v="97859"/>
    <n v="410518"/>
    <n v="0.18233166159664557"/>
    <n v="14"/>
    <n v="0"/>
    <n v="5019"/>
    <n v="18888"/>
    <n v="0"/>
    <n v="12"/>
    <x v="9"/>
  </r>
  <r>
    <n v="7558"/>
    <s v="user_14"/>
    <s v="P100454"/>
    <x v="0"/>
    <x v="10"/>
    <n v="387893"/>
    <n v="1594"/>
    <n v="46770"/>
    <n v="7063"/>
    <n v="2663"/>
    <n v="200087"/>
    <n v="145687"/>
    <n v="0.14564841335110457"/>
    <n v="4"/>
    <n v="0"/>
    <n v="1949"/>
    <n v="11248"/>
    <n v="277"/>
    <n v="23"/>
    <x v="13"/>
  </r>
  <r>
    <n v="3976"/>
    <s v="user_186"/>
    <s v="P100455"/>
    <x v="1"/>
    <x v="41"/>
    <n v="391586"/>
    <n v="1590"/>
    <n v="2591"/>
    <n v="372"/>
    <n v="571"/>
    <n v="5807"/>
    <n v="6503"/>
    <n v="9.0248374558845306E-3"/>
    <n v="6"/>
    <n v="0"/>
    <n v="148"/>
    <n v="977"/>
    <n v="46"/>
    <n v="9"/>
    <x v="3"/>
  </r>
  <r>
    <n v="9931"/>
    <s v="user_50"/>
    <s v="P100456"/>
    <x v="0"/>
    <x v="255"/>
    <n v="389818"/>
    <n v="1166"/>
    <n v="3973"/>
    <n v="410"/>
    <n v="92"/>
    <n v="4297"/>
    <n v="28898"/>
    <n v="1.1479716175240753E-2"/>
    <n v="23"/>
    <n v="0"/>
    <n v="188"/>
    <n v="571"/>
    <n v="9"/>
    <n v="16"/>
    <x v="8"/>
  </r>
  <r>
    <n v="6505"/>
    <s v="user_178"/>
    <s v="P100457"/>
    <x v="2"/>
    <x v="144"/>
    <n v="257598"/>
    <n v="397"/>
    <n v="7039"/>
    <n v="37"/>
    <n v="2015"/>
    <n v="28242"/>
    <n v="34717"/>
    <n v="3.5291423070054895E-2"/>
    <n v="24"/>
    <n v="28"/>
    <n v="537"/>
    <n v="3421"/>
    <n v="210"/>
    <n v="21"/>
    <x v="7"/>
  </r>
  <r>
    <n v="2325"/>
    <s v="user_205"/>
    <s v="P100458"/>
    <x v="1"/>
    <x v="164"/>
    <n v="238316"/>
    <n v="111"/>
    <n v="17299"/>
    <n v="2280"/>
    <n v="323"/>
    <n v="61990"/>
    <n v="86886"/>
    <n v="8.351096862988637E-2"/>
    <n v="9"/>
    <n v="0"/>
    <n v="1198"/>
    <n v="4403"/>
    <n v="10"/>
    <n v="19"/>
    <x v="17"/>
  </r>
  <r>
    <n v="6308"/>
    <s v="user_283"/>
    <s v="P100459"/>
    <x v="1"/>
    <x v="234"/>
    <n v="194451"/>
    <n v="1042"/>
    <n v="24485"/>
    <n v="878"/>
    <n v="5845"/>
    <n v="41097"/>
    <n v="59610"/>
    <n v="0.1604928748116492"/>
    <n v="7"/>
    <n v="0"/>
    <n v="2365"/>
    <n v="5441"/>
    <n v="462"/>
    <n v="13"/>
    <x v="14"/>
  </r>
  <r>
    <n v="2632"/>
    <s v="user_90"/>
    <s v="P100460"/>
    <x v="0"/>
    <x v="113"/>
    <n v="163616"/>
    <n v="262"/>
    <n v="15478"/>
    <n v="1883"/>
    <n v="3405"/>
    <n v="67132"/>
    <n v="67830"/>
    <n v="0.12691912771367103"/>
    <n v="19"/>
    <n v="0"/>
    <n v="537"/>
    <n v="8594"/>
    <n v="730"/>
    <n v="8"/>
    <x v="11"/>
  </r>
  <r>
    <n v="4935"/>
    <s v="user_26"/>
    <s v="P100461"/>
    <x v="2"/>
    <x v="65"/>
    <n v="399818"/>
    <n v="834"/>
    <n v="59223"/>
    <n v="4259"/>
    <n v="2758"/>
    <n v="261083"/>
    <n v="313337"/>
    <n v="0.16567538229894602"/>
    <n v="9"/>
    <n v="27"/>
    <n v="2965"/>
    <n v="25448"/>
    <n v="695"/>
    <n v="18"/>
    <x v="1"/>
  </r>
  <r>
    <n v="6096"/>
    <s v="user_233"/>
    <s v="P100462"/>
    <x v="0"/>
    <x v="138"/>
    <n v="267124"/>
    <n v="214"/>
    <n v="30986"/>
    <n v="5098"/>
    <n v="3818"/>
    <n v="124077"/>
    <n v="235840"/>
    <n v="0.14937631961186565"/>
    <n v="17"/>
    <n v="0"/>
    <n v="930"/>
    <n v="16866"/>
    <n v="257"/>
    <n v="18"/>
    <x v="1"/>
  </r>
  <r>
    <n v="3349"/>
    <s v="user_192"/>
    <s v="P100463"/>
    <x v="2"/>
    <x v="207"/>
    <n v="474100"/>
    <n v="137"/>
    <n v="44023"/>
    <n v="5839"/>
    <n v="11115"/>
    <n v="146035"/>
    <n v="251355"/>
    <n v="0.12861632566968995"/>
    <n v="9"/>
    <n v="8"/>
    <n v="3331"/>
    <n v="20494"/>
    <n v="0"/>
    <n v="8"/>
    <x v="11"/>
  </r>
  <r>
    <n v="5377"/>
    <s v="user_290"/>
    <s v="P100464"/>
    <x v="2"/>
    <x v="256"/>
    <n v="422493"/>
    <n v="641"/>
    <n v="57673"/>
    <n v="5308"/>
    <n v="8320"/>
    <n v="127274"/>
    <n v="119788"/>
    <n v="0.16876255937968204"/>
    <n v="4"/>
    <n v="23"/>
    <n v="5427"/>
    <n v="10555"/>
    <n v="0"/>
    <n v="13"/>
    <x v="14"/>
  </r>
  <r>
    <n v="3806"/>
    <s v="user_61"/>
    <s v="P100465"/>
    <x v="2"/>
    <x v="31"/>
    <n v="191110"/>
    <n v="549"/>
    <n v="1953"/>
    <n v="297"/>
    <n v="12"/>
    <n v="5186"/>
    <n v="4890"/>
    <n v="1.1836115326251897E-2"/>
    <n v="5"/>
    <n v="35"/>
    <n v="190"/>
    <n v="710"/>
    <n v="17"/>
    <n v="7"/>
    <x v="4"/>
  </r>
  <r>
    <n v="2935"/>
    <s v="user_188"/>
    <s v="P100466"/>
    <x v="2"/>
    <x v="92"/>
    <n v="412854"/>
    <n v="1486"/>
    <n v="24566"/>
    <n v="4182"/>
    <n v="6693"/>
    <n v="73717"/>
    <n v="190454"/>
    <n v="8.5843906078177754E-2"/>
    <n v="18"/>
    <n v="13"/>
    <n v="2342"/>
    <n v="8017"/>
    <n v="0"/>
    <n v="10"/>
    <x v="12"/>
  </r>
  <r>
    <n v="3434"/>
    <s v="user_217"/>
    <s v="P100467"/>
    <x v="1"/>
    <x v="177"/>
    <n v="369576"/>
    <n v="785"/>
    <n v="12741"/>
    <n v="2119"/>
    <n v="720"/>
    <n v="31043"/>
    <n v="66101"/>
    <n v="4.215641708336039E-2"/>
    <n v="5"/>
    <n v="0"/>
    <n v="882"/>
    <n v="3536"/>
    <n v="79"/>
    <n v="18"/>
    <x v="1"/>
  </r>
  <r>
    <n v="4687"/>
    <s v="user_88"/>
    <s v="P100468"/>
    <x v="0"/>
    <x v="257"/>
    <n v="66886"/>
    <n v="1549"/>
    <n v="6504"/>
    <n v="841"/>
    <n v="893"/>
    <n v="10162"/>
    <n v="21108"/>
    <n v="0.12316478784798014"/>
    <n v="10"/>
    <n v="0"/>
    <n v="441"/>
    <n v="1162"/>
    <n v="0"/>
    <n v="22"/>
    <x v="0"/>
  </r>
  <r>
    <n v="5138"/>
    <s v="user_237"/>
    <s v="P100469"/>
    <x v="0"/>
    <x v="258"/>
    <n v="467873"/>
    <n v="1476"/>
    <n v="55466"/>
    <n v="9008"/>
    <n v="6122"/>
    <n v="131675"/>
    <n v="155503"/>
    <n v="0.15088709970440697"/>
    <n v="13"/>
    <n v="0"/>
    <n v="4201"/>
    <n v="7140"/>
    <n v="479"/>
    <n v="19"/>
    <x v="17"/>
  </r>
  <r>
    <n v="7468"/>
    <s v="user_174"/>
    <s v="P100470"/>
    <x v="0"/>
    <x v="246"/>
    <n v="34455"/>
    <n v="409"/>
    <n v="3886"/>
    <n v="357"/>
    <n v="49"/>
    <n v="8907"/>
    <n v="8050"/>
    <n v="0.12456827746335801"/>
    <n v="6"/>
    <n v="0"/>
    <n v="335"/>
    <n v="620"/>
    <n v="41"/>
    <n v="11"/>
    <x v="16"/>
  </r>
  <r>
    <n v="1205"/>
    <s v="user_172"/>
    <s v="P100471"/>
    <x v="0"/>
    <x v="259"/>
    <n v="369622"/>
    <n v="257"/>
    <n v="21945"/>
    <n v="2967"/>
    <n v="5510"/>
    <n v="26146"/>
    <n v="148734"/>
    <n v="8.230570691138514E-2"/>
    <n v="21"/>
    <n v="0"/>
    <n v="892"/>
    <n v="4237"/>
    <n v="290"/>
    <n v="21"/>
    <x v="7"/>
  </r>
  <r>
    <n v="6891"/>
    <s v="user_189"/>
    <s v="P100472"/>
    <x v="1"/>
    <x v="260"/>
    <n v="454760"/>
    <n v="475"/>
    <n v="44192"/>
    <n v="4854"/>
    <n v="2094"/>
    <n v="57011"/>
    <n v="352916"/>
    <n v="0.11245492127715719"/>
    <n v="6"/>
    <n v="0"/>
    <n v="1843"/>
    <n v="5080"/>
    <n v="320"/>
    <n v="6"/>
    <x v="2"/>
  </r>
  <r>
    <n v="4897"/>
    <s v="user_66"/>
    <s v="P100473"/>
    <x v="0"/>
    <x v="33"/>
    <n v="281051"/>
    <n v="282"/>
    <n v="20952"/>
    <n v="2246"/>
    <n v="2976"/>
    <n v="35146"/>
    <n v="110943"/>
    <n v="9.3129005056021855E-2"/>
    <n v="21"/>
    <n v="0"/>
    <n v="1487"/>
    <n v="6128"/>
    <n v="0"/>
    <n v="17"/>
    <x v="15"/>
  </r>
  <r>
    <n v="3507"/>
    <s v="user_262"/>
    <s v="P100474"/>
    <x v="2"/>
    <x v="58"/>
    <n v="392463"/>
    <n v="145"/>
    <n v="53811"/>
    <n v="5726"/>
    <n v="8869"/>
    <n v="76493"/>
    <n v="285754"/>
    <n v="0.17429923330352159"/>
    <n v="19"/>
    <n v="32"/>
    <n v="3217"/>
    <n v="9868"/>
    <n v="0"/>
    <n v="18"/>
    <x v="1"/>
  </r>
  <r>
    <n v="2948"/>
    <s v="user_204"/>
    <s v="P100475"/>
    <x v="1"/>
    <x v="109"/>
    <n v="17559"/>
    <n v="1082"/>
    <n v="543"/>
    <n v="41"/>
    <n v="148"/>
    <n v="1430"/>
    <n v="1300"/>
    <n v="4.1688023235947377E-2"/>
    <n v="9"/>
    <n v="0"/>
    <n v="27"/>
    <n v="97"/>
    <n v="0"/>
    <n v="20"/>
    <x v="5"/>
  </r>
  <r>
    <n v="9807"/>
    <s v="user_256"/>
    <s v="P100476"/>
    <x v="1"/>
    <x v="42"/>
    <n v="165041"/>
    <n v="772"/>
    <n v="12270"/>
    <n v="787"/>
    <n v="772"/>
    <n v="33172"/>
    <n v="67419"/>
    <n v="8.3791300343550992E-2"/>
    <n v="12"/>
    <n v="0"/>
    <n v="531"/>
    <n v="2927"/>
    <n v="272"/>
    <n v="12"/>
    <x v="9"/>
  </r>
  <r>
    <n v="5264"/>
    <s v="user_269"/>
    <s v="P100477"/>
    <x v="1"/>
    <x v="256"/>
    <n v="467844"/>
    <n v="347"/>
    <n v="36298"/>
    <n v="5705"/>
    <n v="3062"/>
    <n v="96929"/>
    <n v="202447"/>
    <n v="9.6324843323842987E-2"/>
    <n v="24"/>
    <n v="0"/>
    <n v="2476"/>
    <n v="7667"/>
    <n v="281"/>
    <n v="20"/>
    <x v="5"/>
  </r>
  <r>
    <n v="8489"/>
    <s v="user_221"/>
    <s v="P100478"/>
    <x v="0"/>
    <x v="261"/>
    <n v="104550"/>
    <n v="862"/>
    <n v="11878"/>
    <n v="987"/>
    <n v="224"/>
    <n v="28961"/>
    <n v="84128"/>
    <n v="0.12519368723098995"/>
    <n v="9"/>
    <n v="0"/>
    <n v="1052"/>
    <n v="4331"/>
    <n v="321"/>
    <n v="19"/>
    <x v="17"/>
  </r>
  <r>
    <n v="2017"/>
    <s v="user_150"/>
    <s v="P100479"/>
    <x v="0"/>
    <x v="83"/>
    <n v="459712"/>
    <n v="1860"/>
    <n v="9853"/>
    <n v="1631"/>
    <n v="570"/>
    <n v="43305"/>
    <n v="63058"/>
    <n v="2.6220764304608103E-2"/>
    <n v="22"/>
    <n v="0"/>
    <n v="927"/>
    <n v="3589"/>
    <n v="150"/>
    <n v="20"/>
    <x v="5"/>
  </r>
  <r>
    <n v="5016"/>
    <s v="user_203"/>
    <s v="P100480"/>
    <x v="2"/>
    <x v="70"/>
    <n v="353467"/>
    <n v="992"/>
    <n v="12453"/>
    <n v="827"/>
    <n v="2099"/>
    <n v="23079"/>
    <n v="69393"/>
    <n v="4.3509012156721844E-2"/>
    <n v="9"/>
    <n v="10"/>
    <n v="276"/>
    <n v="3255"/>
    <n v="0"/>
    <n v="7"/>
    <x v="4"/>
  </r>
  <r>
    <n v="8148"/>
    <s v="user_237"/>
    <s v="P100481"/>
    <x v="0"/>
    <x v="206"/>
    <n v="172250"/>
    <n v="1837"/>
    <n v="12006"/>
    <n v="2161"/>
    <n v="1396"/>
    <n v="17682"/>
    <n v="40895"/>
    <n v="9.0351233671988385E-2"/>
    <n v="23"/>
    <n v="0"/>
    <n v="642"/>
    <n v="1250"/>
    <n v="62"/>
    <n v="23"/>
    <x v="13"/>
  </r>
  <r>
    <n v="7330"/>
    <s v="user_206"/>
    <s v="P100482"/>
    <x v="1"/>
    <x v="150"/>
    <n v="487021"/>
    <n v="1411"/>
    <n v="55636"/>
    <n v="1208"/>
    <n v="12541"/>
    <n v="153488"/>
    <n v="305577"/>
    <n v="0.14246818925672611"/>
    <n v="9"/>
    <n v="0"/>
    <n v="2256"/>
    <n v="20398"/>
    <n v="0"/>
    <n v="13"/>
    <x v="14"/>
  </r>
  <r>
    <n v="3927"/>
    <s v="user_152"/>
    <s v="P100483"/>
    <x v="2"/>
    <x v="34"/>
    <n v="237196"/>
    <n v="844"/>
    <n v="15369"/>
    <n v="2962"/>
    <n v="2056"/>
    <n v="55757"/>
    <n v="62849"/>
    <n v="8.5950016020506254E-2"/>
    <n v="5"/>
    <n v="36"/>
    <n v="1192"/>
    <n v="10755"/>
    <n v="1060"/>
    <n v="6"/>
    <x v="2"/>
  </r>
  <r>
    <n v="2783"/>
    <s v="user_281"/>
    <s v="P100484"/>
    <x v="2"/>
    <x v="181"/>
    <n v="44653"/>
    <n v="1517"/>
    <n v="4664"/>
    <n v="454"/>
    <n v="34"/>
    <n v="17469"/>
    <n v="16560"/>
    <n v="0.11537858598526415"/>
    <n v="7"/>
    <n v="18"/>
    <n v="123"/>
    <n v="1658"/>
    <n v="35"/>
    <n v="14"/>
    <x v="10"/>
  </r>
  <r>
    <n v="4799"/>
    <s v="user_204"/>
    <s v="P100485"/>
    <x v="1"/>
    <x v="260"/>
    <n v="380946"/>
    <n v="1207"/>
    <n v="50715"/>
    <n v="9910"/>
    <n v="5215"/>
    <n v="65992"/>
    <n v="332617"/>
    <n v="0.17283289495099044"/>
    <n v="6"/>
    <n v="0"/>
    <n v="1833"/>
    <n v="11301"/>
    <n v="756"/>
    <n v="12"/>
    <x v="9"/>
  </r>
  <r>
    <n v="6494"/>
    <s v="user_292"/>
    <s v="P100486"/>
    <x v="0"/>
    <x v="111"/>
    <n v="109359"/>
    <n v="1189"/>
    <n v="968"/>
    <n v="98"/>
    <n v="274"/>
    <n v="3435"/>
    <n v="5677"/>
    <n v="1.2253221042621092E-2"/>
    <n v="22"/>
    <n v="0"/>
    <n v="31"/>
    <n v="635"/>
    <n v="39"/>
    <n v="17"/>
    <x v="15"/>
  </r>
  <r>
    <n v="4790"/>
    <s v="user_254"/>
    <s v="P100487"/>
    <x v="0"/>
    <x v="195"/>
    <n v="7306"/>
    <n v="656"/>
    <n v="457"/>
    <n v="32"/>
    <n v="71"/>
    <n v="589"/>
    <n v="1070"/>
    <n v="7.6649329318368459E-2"/>
    <n v="22"/>
    <n v="0"/>
    <n v="15"/>
    <n v="118"/>
    <n v="2"/>
    <n v="21"/>
    <x v="7"/>
  </r>
  <r>
    <n v="4312"/>
    <s v="user_269"/>
    <s v="P100488"/>
    <x v="2"/>
    <x v="187"/>
    <n v="133063"/>
    <n v="1229"/>
    <n v="7483"/>
    <n v="1154"/>
    <n v="1769"/>
    <n v="29002"/>
    <n v="42652"/>
    <n v="7.8203557713263636E-2"/>
    <n v="17"/>
    <n v="28"/>
    <n v="343"/>
    <n v="4765"/>
    <n v="345"/>
    <n v="9"/>
    <x v="3"/>
  </r>
  <r>
    <n v="8547"/>
    <s v="user_178"/>
    <s v="P100489"/>
    <x v="1"/>
    <x v="262"/>
    <n v="370258"/>
    <n v="1626"/>
    <n v="36909"/>
    <n v="59"/>
    <n v="7449"/>
    <n v="42428"/>
    <n v="250711"/>
    <n v="0.11996229656077655"/>
    <n v="3"/>
    <n v="0"/>
    <n v="802"/>
    <n v="5338"/>
    <n v="52"/>
    <n v="20"/>
    <x v="5"/>
  </r>
  <r>
    <n v="3558"/>
    <s v="user_82"/>
    <s v="P100490"/>
    <x v="2"/>
    <x v="187"/>
    <n v="484390"/>
    <n v="1553"/>
    <n v="37691"/>
    <n v="6163"/>
    <n v="6931"/>
    <n v="125190"/>
    <n v="141620"/>
    <n v="0.10484320485559157"/>
    <n v="10"/>
    <n v="43"/>
    <n v="3339"/>
    <n v="20148"/>
    <n v="0"/>
    <n v="17"/>
    <x v="15"/>
  </r>
  <r>
    <n v="2233"/>
    <s v="user_113"/>
    <s v="P100491"/>
    <x v="1"/>
    <x v="90"/>
    <n v="35765"/>
    <n v="1360"/>
    <n v="4751"/>
    <n v="205"/>
    <n v="445"/>
    <n v="9698"/>
    <n v="9568"/>
    <n v="0.15101356074374389"/>
    <n v="22"/>
    <n v="0"/>
    <n v="264"/>
    <n v="1721"/>
    <n v="73"/>
    <n v="14"/>
    <x v="10"/>
  </r>
  <r>
    <n v="7953"/>
    <s v="user_160"/>
    <s v="P100492"/>
    <x v="0"/>
    <x v="263"/>
    <n v="172727"/>
    <n v="1223"/>
    <n v="20119"/>
    <n v="1627"/>
    <n v="728"/>
    <n v="60498"/>
    <n v="98492"/>
    <n v="0.13011283702026899"/>
    <n v="13"/>
    <n v="0"/>
    <n v="449"/>
    <n v="10807"/>
    <n v="0"/>
    <n v="16"/>
    <x v="8"/>
  </r>
  <r>
    <n v="4865"/>
    <s v="user_239"/>
    <s v="P100493"/>
    <x v="0"/>
    <x v="51"/>
    <n v="196707"/>
    <n v="717"/>
    <n v="25531"/>
    <n v="1040"/>
    <n v="131"/>
    <n v="67616"/>
    <n v="87696"/>
    <n v="0.13574504211848079"/>
    <n v="4"/>
    <n v="0"/>
    <n v="2038"/>
    <n v="7122"/>
    <n v="0"/>
    <n v="22"/>
    <x v="0"/>
  </r>
  <r>
    <n v="4860"/>
    <s v="user_172"/>
    <s v="P100494"/>
    <x v="1"/>
    <x v="264"/>
    <n v="225258"/>
    <n v="700"/>
    <n v="25111"/>
    <n v="1734"/>
    <n v="4559"/>
    <n v="50946"/>
    <n v="198264"/>
    <n v="0.13941347255147432"/>
    <n v="24"/>
    <n v="0"/>
    <n v="2200"/>
    <n v="3237"/>
    <n v="0"/>
    <n v="14"/>
    <x v="10"/>
  </r>
  <r>
    <n v="9085"/>
    <s v="user_195"/>
    <s v="P100495"/>
    <x v="1"/>
    <x v="191"/>
    <n v="120181"/>
    <n v="1530"/>
    <n v="4380"/>
    <n v="545"/>
    <n v="960"/>
    <n v="19099"/>
    <n v="22648"/>
    <n v="4.8967806891272329E-2"/>
    <n v="13"/>
    <n v="0"/>
    <n v="215"/>
    <n v="2491"/>
    <n v="195"/>
    <n v="7"/>
    <x v="4"/>
  </r>
  <r>
    <n v="3189"/>
    <s v="user_20"/>
    <s v="P100496"/>
    <x v="1"/>
    <x v="122"/>
    <n v="379115"/>
    <n v="653"/>
    <n v="865"/>
    <n v="101"/>
    <n v="208"/>
    <n v="1630"/>
    <n v="4212"/>
    <n v="3.0966857022275561E-3"/>
    <n v="11"/>
    <n v="0"/>
    <n v="68"/>
    <n v="296"/>
    <n v="21"/>
    <n v="12"/>
    <x v="9"/>
  </r>
  <r>
    <n v="4781"/>
    <s v="user_111"/>
    <s v="P100497"/>
    <x v="1"/>
    <x v="108"/>
    <n v="133535"/>
    <n v="1532"/>
    <n v="16037"/>
    <n v="140"/>
    <n v="3782"/>
    <n v="64875"/>
    <n v="113175"/>
    <n v="0.14946643202156737"/>
    <n v="14"/>
    <n v="0"/>
    <n v="323"/>
    <n v="7474"/>
    <n v="470"/>
    <n v="20"/>
    <x v="5"/>
  </r>
  <r>
    <n v="6194"/>
    <s v="user_216"/>
    <s v="P100498"/>
    <x v="2"/>
    <x v="265"/>
    <n v="405624"/>
    <n v="1960"/>
    <n v="21899"/>
    <n v="1408"/>
    <n v="6221"/>
    <n v="75312"/>
    <n v="96758"/>
    <n v="7.2796481470524421E-2"/>
    <n v="5"/>
    <n v="6"/>
    <n v="1881"/>
    <n v="13303"/>
    <n v="257"/>
    <n v="12"/>
    <x v="9"/>
  </r>
  <r>
    <n v="7788"/>
    <s v="user_278"/>
    <s v="P100499"/>
    <x v="2"/>
    <x v="219"/>
    <n v="354048"/>
    <n v="1924"/>
    <n v="45721"/>
    <n v="207"/>
    <n v="4111"/>
    <n v="167633"/>
    <n v="338492"/>
    <n v="0.14133394342010122"/>
    <n v="21"/>
    <n v="42"/>
    <n v="4206"/>
    <n v="26910"/>
    <n v="2442"/>
    <n v="17"/>
    <x v="15"/>
  </r>
  <r>
    <n v="9841"/>
    <s v="user_83"/>
    <s v="P100500"/>
    <x v="2"/>
    <x v="23"/>
    <n v="91242"/>
    <n v="1932"/>
    <n v="10819"/>
    <n v="124"/>
    <n v="2924"/>
    <n v="40446"/>
    <n v="23986"/>
    <n v="0.15198044760088555"/>
    <n v="15"/>
    <n v="37"/>
    <n v="711"/>
    <n v="5576"/>
    <n v="0"/>
    <n v="2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F2F60D-CA8E-41EC-A1BB-55CB205D2AA7}" name="PivotTable3"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D16" firstHeaderRow="1" firstDataRow="2" firstDataCol="1"/>
  <pivotFields count="21">
    <pivotField showAll="0"/>
    <pivotField showAll="0"/>
    <pivotField dataField="1" showAll="0"/>
    <pivotField axis="axisCol" showAll="0">
      <items count="4">
        <item x="1"/>
        <item x="0"/>
        <item x="2"/>
        <item t="default"/>
      </items>
    </pivotField>
    <pivotField numFmtId="14" showAll="0">
      <items count="267">
        <item x="35"/>
        <item x="134"/>
        <item x="104"/>
        <item x="209"/>
        <item x="15"/>
        <item x="212"/>
        <item x="101"/>
        <item x="34"/>
        <item x="38"/>
        <item x="144"/>
        <item x="4"/>
        <item x="24"/>
        <item x="246"/>
        <item x="102"/>
        <item x="96"/>
        <item x="49"/>
        <item x="248"/>
        <item x="80"/>
        <item x="123"/>
        <item x="189"/>
        <item x="156"/>
        <item x="185"/>
        <item x="254"/>
        <item x="56"/>
        <item x="89"/>
        <item x="18"/>
        <item x="0"/>
        <item x="85"/>
        <item x="154"/>
        <item x="226"/>
        <item x="106"/>
        <item x="69"/>
        <item x="211"/>
        <item x="172"/>
        <item x="121"/>
        <item x="64"/>
        <item x="109"/>
        <item x="86"/>
        <item x="203"/>
        <item x="171"/>
        <item x="128"/>
        <item x="31"/>
        <item x="180"/>
        <item x="11"/>
        <item x="218"/>
        <item x="229"/>
        <item x="264"/>
        <item x="243"/>
        <item x="30"/>
        <item x="2"/>
        <item x="43"/>
        <item x="23"/>
        <item x="221"/>
        <item x="175"/>
        <item x="113"/>
        <item x="119"/>
        <item x="222"/>
        <item x="63"/>
        <item x="238"/>
        <item x="90"/>
        <item x="13"/>
        <item x="194"/>
        <item x="3"/>
        <item x="179"/>
        <item x="16"/>
        <item x="136"/>
        <item x="130"/>
        <item x="78"/>
        <item x="186"/>
        <item x="205"/>
        <item x="163"/>
        <item x="111"/>
        <item x="108"/>
        <item x="77"/>
        <item x="181"/>
        <item x="26"/>
        <item x="98"/>
        <item x="33"/>
        <item x="199"/>
        <item x="234"/>
        <item x="230"/>
        <item x="256"/>
        <item x="170"/>
        <item x="151"/>
        <item x="79"/>
        <item x="231"/>
        <item x="169"/>
        <item x="48"/>
        <item x="105"/>
        <item x="40"/>
        <item x="138"/>
        <item x="116"/>
        <item x="76"/>
        <item x="25"/>
        <item x="197"/>
        <item x="153"/>
        <item x="61"/>
        <item x="174"/>
        <item x="235"/>
        <item x="176"/>
        <item x="159"/>
        <item x="21"/>
        <item x="263"/>
        <item x="216"/>
        <item x="83"/>
        <item x="233"/>
        <item x="6"/>
        <item x="129"/>
        <item x="55"/>
        <item x="17"/>
        <item x="58"/>
        <item x="46"/>
        <item x="259"/>
        <item x="262"/>
        <item x="62"/>
        <item x="82"/>
        <item x="195"/>
        <item x="214"/>
        <item x="54"/>
        <item x="37"/>
        <item x="74"/>
        <item x="173"/>
        <item x="141"/>
        <item x="39"/>
        <item x="91"/>
        <item x="72"/>
        <item x="148"/>
        <item x="147"/>
        <item x="7"/>
        <item x="28"/>
        <item x="215"/>
        <item x="81"/>
        <item x="65"/>
        <item x="206"/>
        <item x="239"/>
        <item x="122"/>
        <item x="252"/>
        <item x="114"/>
        <item x="227"/>
        <item x="12"/>
        <item x="160"/>
        <item x="190"/>
        <item x="92"/>
        <item x="223"/>
        <item x="47"/>
        <item x="200"/>
        <item x="167"/>
        <item x="155"/>
        <item x="20"/>
        <item x="27"/>
        <item x="22"/>
        <item x="45"/>
        <item x="258"/>
        <item x="251"/>
        <item x="133"/>
        <item x="94"/>
        <item x="57"/>
        <item x="52"/>
        <item x="158"/>
        <item x="257"/>
        <item x="253"/>
        <item x="59"/>
        <item x="213"/>
        <item x="237"/>
        <item x="41"/>
        <item x="183"/>
        <item x="182"/>
        <item x="75"/>
        <item x="29"/>
        <item x="204"/>
        <item x="127"/>
        <item x="162"/>
        <item x="241"/>
        <item x="32"/>
        <item x="177"/>
        <item x="247"/>
        <item x="53"/>
        <item x="187"/>
        <item x="88"/>
        <item x="9"/>
        <item x="73"/>
        <item x="110"/>
        <item x="84"/>
        <item x="132"/>
        <item x="120"/>
        <item x="68"/>
        <item x="118"/>
        <item x="240"/>
        <item x="60"/>
        <item x="265"/>
        <item x="217"/>
        <item x="42"/>
        <item x="140"/>
        <item x="220"/>
        <item x="255"/>
        <item x="178"/>
        <item x="224"/>
        <item x="164"/>
        <item x="135"/>
        <item x="87"/>
        <item x="137"/>
        <item x="44"/>
        <item x="139"/>
        <item x="5"/>
        <item x="184"/>
        <item x="261"/>
        <item x="201"/>
        <item x="51"/>
        <item x="126"/>
        <item x="100"/>
        <item x="152"/>
        <item x="70"/>
        <item x="125"/>
        <item x="143"/>
        <item x="124"/>
        <item x="193"/>
        <item x="150"/>
        <item x="107"/>
        <item x="250"/>
        <item x="168"/>
        <item x="149"/>
        <item x="165"/>
        <item x="207"/>
        <item x="146"/>
        <item x="97"/>
        <item x="66"/>
        <item x="228"/>
        <item x="192"/>
        <item x="1"/>
        <item x="161"/>
        <item x="260"/>
        <item x="71"/>
        <item x="19"/>
        <item x="14"/>
        <item x="142"/>
        <item x="236"/>
        <item x="103"/>
        <item x="210"/>
        <item x="188"/>
        <item x="208"/>
        <item x="50"/>
        <item x="242"/>
        <item x="232"/>
        <item x="8"/>
        <item x="191"/>
        <item x="112"/>
        <item x="145"/>
        <item x="99"/>
        <item x="202"/>
        <item x="117"/>
        <item x="67"/>
        <item x="219"/>
        <item x="95"/>
        <item x="249"/>
        <item x="115"/>
        <item x="245"/>
        <item x="225"/>
        <item x="157"/>
        <item x="166"/>
        <item x="244"/>
        <item x="36"/>
        <item x="198"/>
        <item x="131"/>
        <item x="10"/>
        <item x="196"/>
        <item x="93"/>
        <item t="default"/>
      </items>
    </pivotField>
    <pivotField showAll="0"/>
    <pivotField showAll="0"/>
    <pivotField showAll="0"/>
    <pivotField showAll="0"/>
    <pivotField showAll="0"/>
    <pivotField showAll="0"/>
    <pivotField showAll="0"/>
    <pivotField numFmtId="10"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20"/>
  </rowFields>
  <rowItems count="12">
    <i>
      <x v="1"/>
    </i>
    <i>
      <x v="2"/>
    </i>
    <i>
      <x v="3"/>
    </i>
    <i>
      <x v="4"/>
    </i>
    <i>
      <x v="5"/>
    </i>
    <i>
      <x v="6"/>
    </i>
    <i>
      <x v="7"/>
    </i>
    <i>
      <x v="8"/>
    </i>
    <i>
      <x v="9"/>
    </i>
    <i>
      <x v="10"/>
    </i>
    <i>
      <x v="11"/>
    </i>
    <i>
      <x v="12"/>
    </i>
  </rowItems>
  <colFields count="1">
    <field x="3"/>
  </colFields>
  <colItems count="3">
    <i>
      <x/>
    </i>
    <i>
      <x v="1"/>
    </i>
    <i>
      <x v="2"/>
    </i>
  </colItems>
  <dataFields count="1">
    <dataField name="Count of post_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678D4C-CCF1-49DE-B176-BDC8A571771C}" name="PivotTable7"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J5:K23" firstHeaderRow="1" firstDataRow="1" firstDataCol="1"/>
  <pivotFields count="21">
    <pivotField showAll="0"/>
    <pivotField showAll="0"/>
    <pivotField showAll="0"/>
    <pivotField showAll="0">
      <items count="4">
        <item x="1"/>
        <item x="0"/>
        <item x="2"/>
        <item t="default"/>
      </items>
    </pivotField>
    <pivotField numFmtId="14" showAll="0">
      <items count="267">
        <item x="35"/>
        <item x="134"/>
        <item x="104"/>
        <item x="209"/>
        <item x="15"/>
        <item x="212"/>
        <item x="101"/>
        <item x="34"/>
        <item x="38"/>
        <item x="144"/>
        <item x="4"/>
        <item x="24"/>
        <item x="246"/>
        <item x="102"/>
        <item x="96"/>
        <item x="49"/>
        <item x="248"/>
        <item x="80"/>
        <item x="123"/>
        <item x="189"/>
        <item x="156"/>
        <item x="185"/>
        <item x="254"/>
        <item x="56"/>
        <item x="89"/>
        <item x="18"/>
        <item x="0"/>
        <item x="85"/>
        <item x="154"/>
        <item x="226"/>
        <item x="106"/>
        <item x="69"/>
        <item x="211"/>
        <item x="172"/>
        <item x="121"/>
        <item x="64"/>
        <item x="109"/>
        <item x="86"/>
        <item x="203"/>
        <item x="171"/>
        <item x="128"/>
        <item x="31"/>
        <item x="180"/>
        <item x="11"/>
        <item x="218"/>
        <item x="229"/>
        <item x="264"/>
        <item x="243"/>
        <item x="30"/>
        <item x="2"/>
        <item x="43"/>
        <item x="23"/>
        <item x="221"/>
        <item x="175"/>
        <item x="113"/>
        <item x="119"/>
        <item x="222"/>
        <item x="63"/>
        <item x="238"/>
        <item x="90"/>
        <item x="13"/>
        <item x="194"/>
        <item x="3"/>
        <item x="179"/>
        <item x="16"/>
        <item x="136"/>
        <item x="130"/>
        <item x="78"/>
        <item x="186"/>
        <item x="205"/>
        <item x="163"/>
        <item x="111"/>
        <item x="108"/>
        <item x="77"/>
        <item x="181"/>
        <item x="26"/>
        <item x="98"/>
        <item x="33"/>
        <item x="199"/>
        <item x="234"/>
        <item x="230"/>
        <item x="256"/>
        <item x="170"/>
        <item x="151"/>
        <item x="79"/>
        <item x="231"/>
        <item x="169"/>
        <item x="48"/>
        <item x="105"/>
        <item x="40"/>
        <item x="138"/>
        <item x="116"/>
        <item x="76"/>
        <item x="25"/>
        <item x="197"/>
        <item x="153"/>
        <item x="61"/>
        <item x="174"/>
        <item x="235"/>
        <item x="176"/>
        <item x="159"/>
        <item x="21"/>
        <item x="263"/>
        <item x="216"/>
        <item x="83"/>
        <item x="233"/>
        <item x="6"/>
        <item x="129"/>
        <item x="55"/>
        <item x="17"/>
        <item x="58"/>
        <item x="46"/>
        <item x="259"/>
        <item x="262"/>
        <item x="62"/>
        <item x="82"/>
        <item x="195"/>
        <item x="214"/>
        <item x="54"/>
        <item x="37"/>
        <item x="74"/>
        <item x="173"/>
        <item x="141"/>
        <item x="39"/>
        <item x="91"/>
        <item x="72"/>
        <item x="148"/>
        <item x="147"/>
        <item x="7"/>
        <item x="28"/>
        <item x="215"/>
        <item x="81"/>
        <item x="65"/>
        <item x="206"/>
        <item x="239"/>
        <item x="122"/>
        <item x="252"/>
        <item x="114"/>
        <item x="227"/>
        <item x="12"/>
        <item x="160"/>
        <item x="190"/>
        <item x="92"/>
        <item x="223"/>
        <item x="47"/>
        <item x="200"/>
        <item x="167"/>
        <item x="155"/>
        <item x="20"/>
        <item x="27"/>
        <item x="22"/>
        <item x="45"/>
        <item x="258"/>
        <item x="251"/>
        <item x="133"/>
        <item x="94"/>
        <item x="57"/>
        <item x="52"/>
        <item x="158"/>
        <item x="257"/>
        <item x="253"/>
        <item x="59"/>
        <item x="213"/>
        <item x="237"/>
        <item x="41"/>
        <item x="183"/>
        <item x="182"/>
        <item x="75"/>
        <item x="29"/>
        <item x="204"/>
        <item x="127"/>
        <item x="162"/>
        <item x="241"/>
        <item x="32"/>
        <item x="177"/>
        <item x="247"/>
        <item x="53"/>
        <item x="187"/>
        <item x="88"/>
        <item x="9"/>
        <item x="73"/>
        <item x="110"/>
        <item x="84"/>
        <item x="132"/>
        <item x="120"/>
        <item x="68"/>
        <item x="118"/>
        <item x="240"/>
        <item x="60"/>
        <item x="265"/>
        <item x="217"/>
        <item x="42"/>
        <item x="140"/>
        <item x="220"/>
        <item x="255"/>
        <item x="178"/>
        <item x="224"/>
        <item x="164"/>
        <item x="135"/>
        <item x="87"/>
        <item x="137"/>
        <item x="44"/>
        <item x="139"/>
        <item x="5"/>
        <item x="184"/>
        <item x="261"/>
        <item x="201"/>
        <item x="51"/>
        <item x="126"/>
        <item x="100"/>
        <item x="152"/>
        <item x="70"/>
        <item x="125"/>
        <item x="143"/>
        <item x="124"/>
        <item x="193"/>
        <item x="150"/>
        <item x="107"/>
        <item x="250"/>
        <item x="168"/>
        <item x="149"/>
        <item x="165"/>
        <item x="207"/>
        <item x="146"/>
        <item x="97"/>
        <item x="66"/>
        <item x="228"/>
        <item x="192"/>
        <item x="1"/>
        <item x="161"/>
        <item x="260"/>
        <item x="71"/>
        <item x="19"/>
        <item x="14"/>
        <item x="142"/>
        <item x="236"/>
        <item x="103"/>
        <item x="210"/>
        <item x="188"/>
        <item x="208"/>
        <item x="50"/>
        <item x="242"/>
        <item x="232"/>
        <item x="8"/>
        <item x="191"/>
        <item x="112"/>
        <item x="145"/>
        <item x="99"/>
        <item x="202"/>
        <item x="117"/>
        <item x="67"/>
        <item x="219"/>
        <item x="95"/>
        <item x="249"/>
        <item x="115"/>
        <item x="245"/>
        <item x="225"/>
        <item x="157"/>
        <item x="166"/>
        <item x="244"/>
        <item x="36"/>
        <item x="198"/>
        <item x="131"/>
        <item x="10"/>
        <item x="196"/>
        <item x="93"/>
        <item t="default"/>
      </items>
    </pivotField>
    <pivotField showAll="0"/>
    <pivotField showAll="0"/>
    <pivotField showAll="0"/>
    <pivotField showAll="0"/>
    <pivotField showAll="0"/>
    <pivotField dataField="1" showAll="0"/>
    <pivotField showAll="0"/>
    <pivotField numFmtId="10"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axis="axisRow" showAll="0" sortType="descending">
      <items count="19">
        <item x="7"/>
        <item x="3"/>
        <item x="5"/>
        <item x="11"/>
        <item x="17"/>
        <item x="4"/>
        <item x="1"/>
        <item x="2"/>
        <item x="15"/>
        <item x="8"/>
        <item x="6"/>
        <item x="10"/>
        <item x="9"/>
        <item x="13"/>
        <item x="16"/>
        <item x="0"/>
        <item x="12"/>
        <item x="14"/>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s>
  <rowFields count="1">
    <field x="19"/>
  </rowFields>
  <rowItems count="18">
    <i>
      <x v="2"/>
    </i>
    <i>
      <x v="11"/>
    </i>
    <i>
      <x v="15"/>
    </i>
    <i>
      <x v="16"/>
    </i>
    <i>
      <x v="6"/>
    </i>
    <i>
      <x/>
    </i>
    <i>
      <x v="7"/>
    </i>
    <i>
      <x v="14"/>
    </i>
    <i>
      <x v="10"/>
    </i>
    <i>
      <x v="5"/>
    </i>
    <i>
      <x v="8"/>
    </i>
    <i>
      <x v="4"/>
    </i>
    <i>
      <x v="3"/>
    </i>
    <i>
      <x v="12"/>
    </i>
    <i>
      <x v="17"/>
    </i>
    <i>
      <x v="13"/>
    </i>
    <i>
      <x v="9"/>
    </i>
    <i>
      <x v="1"/>
    </i>
  </rowItems>
  <colItems count="1">
    <i/>
  </colItems>
  <dataFields count="1">
    <dataField name="Average of reach" fld="10" subtotal="average" baseField="18" baseItem="0" numFmtId="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487F4A-4A5C-4F19-98E5-06B2E4A82A3D}" name="PivotTable4"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J55:K58" firstHeaderRow="1" firstDataRow="1" firstDataCol="1"/>
  <pivotFields count="21">
    <pivotField showAll="0"/>
    <pivotField showAll="0"/>
    <pivotField showAll="0"/>
    <pivotField axis="axisRow" showAll="0">
      <items count="4">
        <item x="1"/>
        <item x="0"/>
        <item x="2"/>
        <item t="default"/>
      </items>
    </pivotField>
    <pivotField numFmtId="14" showAll="0">
      <items count="267">
        <item x="35"/>
        <item x="134"/>
        <item x="104"/>
        <item x="209"/>
        <item x="15"/>
        <item x="212"/>
        <item x="101"/>
        <item x="34"/>
        <item x="38"/>
        <item x="144"/>
        <item x="4"/>
        <item x="24"/>
        <item x="246"/>
        <item x="102"/>
        <item x="96"/>
        <item x="49"/>
        <item x="248"/>
        <item x="80"/>
        <item x="123"/>
        <item x="189"/>
        <item x="156"/>
        <item x="185"/>
        <item x="254"/>
        <item x="56"/>
        <item x="89"/>
        <item x="18"/>
        <item x="0"/>
        <item x="85"/>
        <item x="154"/>
        <item x="226"/>
        <item x="106"/>
        <item x="69"/>
        <item x="211"/>
        <item x="172"/>
        <item x="121"/>
        <item x="64"/>
        <item x="109"/>
        <item x="86"/>
        <item x="203"/>
        <item x="171"/>
        <item x="128"/>
        <item x="31"/>
        <item x="180"/>
        <item x="11"/>
        <item x="218"/>
        <item x="229"/>
        <item x="264"/>
        <item x="243"/>
        <item x="30"/>
        <item x="2"/>
        <item x="43"/>
        <item x="23"/>
        <item x="221"/>
        <item x="175"/>
        <item x="113"/>
        <item x="119"/>
        <item x="222"/>
        <item x="63"/>
        <item x="238"/>
        <item x="90"/>
        <item x="13"/>
        <item x="194"/>
        <item x="3"/>
        <item x="179"/>
        <item x="16"/>
        <item x="136"/>
        <item x="130"/>
        <item x="78"/>
        <item x="186"/>
        <item x="205"/>
        <item x="163"/>
        <item x="111"/>
        <item x="108"/>
        <item x="77"/>
        <item x="181"/>
        <item x="26"/>
        <item x="98"/>
        <item x="33"/>
        <item x="199"/>
        <item x="234"/>
        <item x="230"/>
        <item x="256"/>
        <item x="170"/>
        <item x="151"/>
        <item x="79"/>
        <item x="231"/>
        <item x="169"/>
        <item x="48"/>
        <item x="105"/>
        <item x="40"/>
        <item x="138"/>
        <item x="116"/>
        <item x="76"/>
        <item x="25"/>
        <item x="197"/>
        <item x="153"/>
        <item x="61"/>
        <item x="174"/>
        <item x="235"/>
        <item x="176"/>
        <item x="159"/>
        <item x="21"/>
        <item x="263"/>
        <item x="216"/>
        <item x="83"/>
        <item x="233"/>
        <item x="6"/>
        <item x="129"/>
        <item x="55"/>
        <item x="17"/>
        <item x="58"/>
        <item x="46"/>
        <item x="259"/>
        <item x="262"/>
        <item x="62"/>
        <item x="82"/>
        <item x="195"/>
        <item x="214"/>
        <item x="54"/>
        <item x="37"/>
        <item x="74"/>
        <item x="173"/>
        <item x="141"/>
        <item x="39"/>
        <item x="91"/>
        <item x="72"/>
        <item x="148"/>
        <item x="147"/>
        <item x="7"/>
        <item x="28"/>
        <item x="215"/>
        <item x="81"/>
        <item x="65"/>
        <item x="206"/>
        <item x="239"/>
        <item x="122"/>
        <item x="252"/>
        <item x="114"/>
        <item x="227"/>
        <item x="12"/>
        <item x="160"/>
        <item x="190"/>
        <item x="92"/>
        <item x="223"/>
        <item x="47"/>
        <item x="200"/>
        <item x="167"/>
        <item x="155"/>
        <item x="20"/>
        <item x="27"/>
        <item x="22"/>
        <item x="45"/>
        <item x="258"/>
        <item x="251"/>
        <item x="133"/>
        <item x="94"/>
        <item x="57"/>
        <item x="52"/>
        <item x="158"/>
        <item x="257"/>
        <item x="253"/>
        <item x="59"/>
        <item x="213"/>
        <item x="237"/>
        <item x="41"/>
        <item x="183"/>
        <item x="182"/>
        <item x="75"/>
        <item x="29"/>
        <item x="204"/>
        <item x="127"/>
        <item x="162"/>
        <item x="241"/>
        <item x="32"/>
        <item x="177"/>
        <item x="247"/>
        <item x="53"/>
        <item x="187"/>
        <item x="88"/>
        <item x="9"/>
        <item x="73"/>
        <item x="110"/>
        <item x="84"/>
        <item x="132"/>
        <item x="120"/>
        <item x="68"/>
        <item x="118"/>
        <item x="240"/>
        <item x="60"/>
        <item x="265"/>
        <item x="217"/>
        <item x="42"/>
        <item x="140"/>
        <item x="220"/>
        <item x="255"/>
        <item x="178"/>
        <item x="224"/>
        <item x="164"/>
        <item x="135"/>
        <item x="87"/>
        <item x="137"/>
        <item x="44"/>
        <item x="139"/>
        <item x="5"/>
        <item x="184"/>
        <item x="261"/>
        <item x="201"/>
        <item x="51"/>
        <item x="126"/>
        <item x="100"/>
        <item x="152"/>
        <item x="70"/>
        <item x="125"/>
        <item x="143"/>
        <item x="124"/>
        <item x="193"/>
        <item x="150"/>
        <item x="107"/>
        <item x="250"/>
        <item x="168"/>
        <item x="149"/>
        <item x="165"/>
        <item x="207"/>
        <item x="146"/>
        <item x="97"/>
        <item x="66"/>
        <item x="228"/>
        <item x="192"/>
        <item x="1"/>
        <item x="161"/>
        <item x="260"/>
        <item x="71"/>
        <item x="19"/>
        <item x="14"/>
        <item x="142"/>
        <item x="236"/>
        <item x="103"/>
        <item x="210"/>
        <item x="188"/>
        <item x="208"/>
        <item x="50"/>
        <item x="242"/>
        <item x="232"/>
        <item x="8"/>
        <item x="191"/>
        <item x="112"/>
        <item x="145"/>
        <item x="99"/>
        <item x="202"/>
        <item x="117"/>
        <item x="67"/>
        <item x="219"/>
        <item x="95"/>
        <item x="249"/>
        <item x="115"/>
        <item x="245"/>
        <item x="225"/>
        <item x="157"/>
        <item x="166"/>
        <item x="244"/>
        <item x="36"/>
        <item x="198"/>
        <item x="131"/>
        <item x="10"/>
        <item x="196"/>
        <item x="93"/>
        <item t="default"/>
      </items>
    </pivotField>
    <pivotField showAll="0"/>
    <pivotField showAll="0"/>
    <pivotField showAll="0"/>
    <pivotField showAll="0"/>
    <pivotField showAll="0"/>
    <pivotField dataField="1" showAll="0"/>
    <pivotField showAll="0"/>
    <pivotField numFmtId="10"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3">
    <i>
      <x/>
    </i>
    <i>
      <x v="1"/>
    </i>
    <i>
      <x v="2"/>
    </i>
  </rowItems>
  <colItems count="1">
    <i/>
  </colItems>
  <dataFields count="1">
    <dataField name="Average of reach" fld="10" subtotal="average" baseField="3" baseItem="0" numFmtId="1"/>
  </dataFields>
  <chartFormats count="8">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3" count="1" selected="0">
            <x v="0"/>
          </reference>
        </references>
      </pivotArea>
    </chartFormat>
    <chartFormat chart="5" format="7">
      <pivotArea type="data" outline="0" fieldPosition="0">
        <references count="2">
          <reference field="4294967294" count="1" selected="0">
            <x v="0"/>
          </reference>
          <reference field="3" count="1" selected="0">
            <x v="1"/>
          </reference>
        </references>
      </pivotArea>
    </chartFormat>
    <chartFormat chart="5" format="8">
      <pivotArea type="data" outline="0" fieldPosition="0">
        <references count="2">
          <reference field="4294967294" count="1" selected="0">
            <x v="0"/>
          </reference>
          <reference field="3" count="1" selected="0">
            <x v="2"/>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C96F26-FCBA-46C1-B6DE-468D3566640A}" name="PivotTable2"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F55:H58" firstHeaderRow="0" firstDataRow="1" firstDataCol="1"/>
  <pivotFields count="21">
    <pivotField showAll="0"/>
    <pivotField showAll="0"/>
    <pivotField showAll="0"/>
    <pivotField axis="axisRow" showAll="0">
      <items count="4">
        <item x="1"/>
        <item x="0"/>
        <item x="2"/>
        <item t="default"/>
      </items>
    </pivotField>
    <pivotField numFmtId="14" showAll="0">
      <items count="267">
        <item x="35"/>
        <item x="134"/>
        <item x="104"/>
        <item x="209"/>
        <item x="15"/>
        <item x="212"/>
        <item x="101"/>
        <item x="34"/>
        <item x="38"/>
        <item x="144"/>
        <item x="4"/>
        <item x="24"/>
        <item x="246"/>
        <item x="102"/>
        <item x="96"/>
        <item x="49"/>
        <item x="248"/>
        <item x="80"/>
        <item x="123"/>
        <item x="189"/>
        <item x="156"/>
        <item x="185"/>
        <item x="254"/>
        <item x="56"/>
        <item x="89"/>
        <item x="18"/>
        <item x="0"/>
        <item x="85"/>
        <item x="154"/>
        <item x="226"/>
        <item x="106"/>
        <item x="69"/>
        <item x="211"/>
        <item x="172"/>
        <item x="121"/>
        <item x="64"/>
        <item x="109"/>
        <item x="86"/>
        <item x="203"/>
        <item x="171"/>
        <item x="128"/>
        <item x="31"/>
        <item x="180"/>
        <item x="11"/>
        <item x="218"/>
        <item x="229"/>
        <item x="264"/>
        <item x="243"/>
        <item x="30"/>
        <item x="2"/>
        <item x="43"/>
        <item x="23"/>
        <item x="221"/>
        <item x="175"/>
        <item x="113"/>
        <item x="119"/>
        <item x="222"/>
        <item x="63"/>
        <item x="238"/>
        <item x="90"/>
        <item x="13"/>
        <item x="194"/>
        <item x="3"/>
        <item x="179"/>
        <item x="16"/>
        <item x="136"/>
        <item x="130"/>
        <item x="78"/>
        <item x="186"/>
        <item x="205"/>
        <item x="163"/>
        <item x="111"/>
        <item x="108"/>
        <item x="77"/>
        <item x="181"/>
        <item x="26"/>
        <item x="98"/>
        <item x="33"/>
        <item x="199"/>
        <item x="234"/>
        <item x="230"/>
        <item x="256"/>
        <item x="170"/>
        <item x="151"/>
        <item x="79"/>
        <item x="231"/>
        <item x="169"/>
        <item x="48"/>
        <item x="105"/>
        <item x="40"/>
        <item x="138"/>
        <item x="116"/>
        <item x="76"/>
        <item x="25"/>
        <item x="197"/>
        <item x="153"/>
        <item x="61"/>
        <item x="174"/>
        <item x="235"/>
        <item x="176"/>
        <item x="159"/>
        <item x="21"/>
        <item x="263"/>
        <item x="216"/>
        <item x="83"/>
        <item x="233"/>
        <item x="6"/>
        <item x="129"/>
        <item x="55"/>
        <item x="17"/>
        <item x="58"/>
        <item x="46"/>
        <item x="259"/>
        <item x="262"/>
        <item x="62"/>
        <item x="82"/>
        <item x="195"/>
        <item x="214"/>
        <item x="54"/>
        <item x="37"/>
        <item x="74"/>
        <item x="173"/>
        <item x="141"/>
        <item x="39"/>
        <item x="91"/>
        <item x="72"/>
        <item x="148"/>
        <item x="147"/>
        <item x="7"/>
        <item x="28"/>
        <item x="215"/>
        <item x="81"/>
        <item x="65"/>
        <item x="206"/>
        <item x="239"/>
        <item x="122"/>
        <item x="252"/>
        <item x="114"/>
        <item x="227"/>
        <item x="12"/>
        <item x="160"/>
        <item x="190"/>
        <item x="92"/>
        <item x="223"/>
        <item x="47"/>
        <item x="200"/>
        <item x="167"/>
        <item x="155"/>
        <item x="20"/>
        <item x="27"/>
        <item x="22"/>
        <item x="45"/>
        <item x="258"/>
        <item x="251"/>
        <item x="133"/>
        <item x="94"/>
        <item x="57"/>
        <item x="52"/>
        <item x="158"/>
        <item x="257"/>
        <item x="253"/>
        <item x="59"/>
        <item x="213"/>
        <item x="237"/>
        <item x="41"/>
        <item x="183"/>
        <item x="182"/>
        <item x="75"/>
        <item x="29"/>
        <item x="204"/>
        <item x="127"/>
        <item x="162"/>
        <item x="241"/>
        <item x="32"/>
        <item x="177"/>
        <item x="247"/>
        <item x="53"/>
        <item x="187"/>
        <item x="88"/>
        <item x="9"/>
        <item x="73"/>
        <item x="110"/>
        <item x="84"/>
        <item x="132"/>
        <item x="120"/>
        <item x="68"/>
        <item x="118"/>
        <item x="240"/>
        <item x="60"/>
        <item x="265"/>
        <item x="217"/>
        <item x="42"/>
        <item x="140"/>
        <item x="220"/>
        <item x="255"/>
        <item x="178"/>
        <item x="224"/>
        <item x="164"/>
        <item x="135"/>
        <item x="87"/>
        <item x="137"/>
        <item x="44"/>
        <item x="139"/>
        <item x="5"/>
        <item x="184"/>
        <item x="261"/>
        <item x="201"/>
        <item x="51"/>
        <item x="126"/>
        <item x="100"/>
        <item x="152"/>
        <item x="70"/>
        <item x="125"/>
        <item x="143"/>
        <item x="124"/>
        <item x="193"/>
        <item x="150"/>
        <item x="107"/>
        <item x="250"/>
        <item x="168"/>
        <item x="149"/>
        <item x="165"/>
        <item x="207"/>
        <item x="146"/>
        <item x="97"/>
        <item x="66"/>
        <item x="228"/>
        <item x="192"/>
        <item x="1"/>
        <item x="161"/>
        <item x="260"/>
        <item x="71"/>
        <item x="19"/>
        <item x="14"/>
        <item x="142"/>
        <item x="236"/>
        <item x="103"/>
        <item x="210"/>
        <item x="188"/>
        <item x="208"/>
        <item x="50"/>
        <item x="242"/>
        <item x="232"/>
        <item x="8"/>
        <item x="191"/>
        <item x="112"/>
        <item x="145"/>
        <item x="99"/>
        <item x="202"/>
        <item x="117"/>
        <item x="67"/>
        <item x="219"/>
        <item x="95"/>
        <item x="249"/>
        <item x="115"/>
        <item x="245"/>
        <item x="225"/>
        <item x="157"/>
        <item x="166"/>
        <item x="244"/>
        <item x="36"/>
        <item x="198"/>
        <item x="131"/>
        <item x="10"/>
        <item x="196"/>
        <item x="93"/>
        <item t="default"/>
      </items>
    </pivotField>
    <pivotField showAll="0"/>
    <pivotField showAll="0"/>
    <pivotField showAll="0"/>
    <pivotField showAll="0"/>
    <pivotField showAll="0"/>
    <pivotField showAll="0"/>
    <pivotField showAll="0"/>
    <pivotField numFmtId="10" showAll="0"/>
    <pivotField showAll="0"/>
    <pivotField showAll="0"/>
    <pivotField showAll="0"/>
    <pivotField dataField="1" showAll="0"/>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3">
    <i>
      <x/>
    </i>
    <i>
      <x v="1"/>
    </i>
    <i>
      <x v="2"/>
    </i>
  </rowItems>
  <colFields count="1">
    <field x="-2"/>
  </colFields>
  <colItems count="2">
    <i>
      <x/>
    </i>
    <i i="1">
      <x v="1"/>
    </i>
  </colItems>
  <dataFields count="2">
    <dataField name="Average of profile_visits" fld="16" subtotal="average" baseField="3" baseItem="0" numFmtId="1"/>
    <dataField name="Average of follower_gain" fld="17" subtotal="average" baseField="3" baseItem="0"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468E9A-F8ED-4C72-AA11-5947500223F6}" name="PivotTable1" cacheId="3" dataPosition="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55:D58" firstHeaderRow="0" firstDataRow="1" firstDataCol="1"/>
  <pivotFields count="21">
    <pivotField showAll="0"/>
    <pivotField showAll="0"/>
    <pivotField showAll="0"/>
    <pivotField axis="axisRow" showAll="0">
      <items count="4">
        <item x="1"/>
        <item x="0"/>
        <item x="2"/>
        <item t="default"/>
      </items>
    </pivotField>
    <pivotField numFmtId="14" showAll="0">
      <items count="267">
        <item x="35"/>
        <item x="134"/>
        <item x="104"/>
        <item x="209"/>
        <item x="15"/>
        <item x="212"/>
        <item x="101"/>
        <item x="34"/>
        <item x="38"/>
        <item x="144"/>
        <item x="4"/>
        <item x="24"/>
        <item x="246"/>
        <item x="102"/>
        <item x="96"/>
        <item x="49"/>
        <item x="248"/>
        <item x="80"/>
        <item x="123"/>
        <item x="189"/>
        <item x="156"/>
        <item x="185"/>
        <item x="254"/>
        <item x="56"/>
        <item x="89"/>
        <item x="18"/>
        <item x="0"/>
        <item x="85"/>
        <item x="154"/>
        <item x="226"/>
        <item x="106"/>
        <item x="69"/>
        <item x="211"/>
        <item x="172"/>
        <item x="121"/>
        <item x="64"/>
        <item x="109"/>
        <item x="86"/>
        <item x="203"/>
        <item x="171"/>
        <item x="128"/>
        <item x="31"/>
        <item x="180"/>
        <item x="11"/>
        <item x="218"/>
        <item x="229"/>
        <item x="264"/>
        <item x="243"/>
        <item x="30"/>
        <item x="2"/>
        <item x="43"/>
        <item x="23"/>
        <item x="221"/>
        <item x="175"/>
        <item x="113"/>
        <item x="119"/>
        <item x="222"/>
        <item x="63"/>
        <item x="238"/>
        <item x="90"/>
        <item x="13"/>
        <item x="194"/>
        <item x="3"/>
        <item x="179"/>
        <item x="16"/>
        <item x="136"/>
        <item x="130"/>
        <item x="78"/>
        <item x="186"/>
        <item x="205"/>
        <item x="163"/>
        <item x="111"/>
        <item x="108"/>
        <item x="77"/>
        <item x="181"/>
        <item x="26"/>
        <item x="98"/>
        <item x="33"/>
        <item x="199"/>
        <item x="234"/>
        <item x="230"/>
        <item x="256"/>
        <item x="170"/>
        <item x="151"/>
        <item x="79"/>
        <item x="231"/>
        <item x="169"/>
        <item x="48"/>
        <item x="105"/>
        <item x="40"/>
        <item x="138"/>
        <item x="116"/>
        <item x="76"/>
        <item x="25"/>
        <item x="197"/>
        <item x="153"/>
        <item x="61"/>
        <item x="174"/>
        <item x="235"/>
        <item x="176"/>
        <item x="159"/>
        <item x="21"/>
        <item x="263"/>
        <item x="216"/>
        <item x="83"/>
        <item x="233"/>
        <item x="6"/>
        <item x="129"/>
        <item x="55"/>
        <item x="17"/>
        <item x="58"/>
        <item x="46"/>
        <item x="259"/>
        <item x="262"/>
        <item x="62"/>
        <item x="82"/>
        <item x="195"/>
        <item x="214"/>
        <item x="54"/>
        <item x="37"/>
        <item x="74"/>
        <item x="173"/>
        <item x="141"/>
        <item x="39"/>
        <item x="91"/>
        <item x="72"/>
        <item x="148"/>
        <item x="147"/>
        <item x="7"/>
        <item x="28"/>
        <item x="215"/>
        <item x="81"/>
        <item x="65"/>
        <item x="206"/>
        <item x="239"/>
        <item x="122"/>
        <item x="252"/>
        <item x="114"/>
        <item x="227"/>
        <item x="12"/>
        <item x="160"/>
        <item x="190"/>
        <item x="92"/>
        <item x="223"/>
        <item x="47"/>
        <item x="200"/>
        <item x="167"/>
        <item x="155"/>
        <item x="20"/>
        <item x="27"/>
        <item x="22"/>
        <item x="45"/>
        <item x="258"/>
        <item x="251"/>
        <item x="133"/>
        <item x="94"/>
        <item x="57"/>
        <item x="52"/>
        <item x="158"/>
        <item x="257"/>
        <item x="253"/>
        <item x="59"/>
        <item x="213"/>
        <item x="237"/>
        <item x="41"/>
        <item x="183"/>
        <item x="182"/>
        <item x="75"/>
        <item x="29"/>
        <item x="204"/>
        <item x="127"/>
        <item x="162"/>
        <item x="241"/>
        <item x="32"/>
        <item x="177"/>
        <item x="247"/>
        <item x="53"/>
        <item x="187"/>
        <item x="88"/>
        <item x="9"/>
        <item x="73"/>
        <item x="110"/>
        <item x="84"/>
        <item x="132"/>
        <item x="120"/>
        <item x="68"/>
        <item x="118"/>
        <item x="240"/>
        <item x="60"/>
        <item x="265"/>
        <item x="217"/>
        <item x="42"/>
        <item x="140"/>
        <item x="220"/>
        <item x="255"/>
        <item x="178"/>
        <item x="224"/>
        <item x="164"/>
        <item x="135"/>
        <item x="87"/>
        <item x="137"/>
        <item x="44"/>
        <item x="139"/>
        <item x="5"/>
        <item x="184"/>
        <item x="261"/>
        <item x="201"/>
        <item x="51"/>
        <item x="126"/>
        <item x="100"/>
        <item x="152"/>
        <item x="70"/>
        <item x="125"/>
        <item x="143"/>
        <item x="124"/>
        <item x="193"/>
        <item x="150"/>
        <item x="107"/>
        <item x="250"/>
        <item x="168"/>
        <item x="149"/>
        <item x="165"/>
        <item x="207"/>
        <item x="146"/>
        <item x="97"/>
        <item x="66"/>
        <item x="228"/>
        <item x="192"/>
        <item x="1"/>
        <item x="161"/>
        <item x="260"/>
        <item x="71"/>
        <item x="19"/>
        <item x="14"/>
        <item x="142"/>
        <item x="236"/>
        <item x="103"/>
        <item x="210"/>
        <item x="188"/>
        <item x="208"/>
        <item x="50"/>
        <item x="242"/>
        <item x="232"/>
        <item x="8"/>
        <item x="191"/>
        <item x="112"/>
        <item x="145"/>
        <item x="99"/>
        <item x="202"/>
        <item x="117"/>
        <item x="67"/>
        <item x="219"/>
        <item x="95"/>
        <item x="249"/>
        <item x="115"/>
        <item x="245"/>
        <item x="225"/>
        <item x="157"/>
        <item x="166"/>
        <item x="244"/>
        <item x="36"/>
        <item x="198"/>
        <item x="131"/>
        <item x="10"/>
        <item x="196"/>
        <item x="93"/>
        <item t="default"/>
      </items>
    </pivotField>
    <pivotField showAll="0"/>
    <pivotField showAll="0"/>
    <pivotField dataField="1" showAll="0"/>
    <pivotField dataField="1" showAll="0"/>
    <pivotField dataField="1" showAll="0"/>
    <pivotField showAll="0"/>
    <pivotField showAll="0"/>
    <pivotField numFmtId="10"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3">
    <i>
      <x/>
    </i>
    <i>
      <x v="1"/>
    </i>
    <i>
      <x v="2"/>
    </i>
  </rowItems>
  <colFields count="1">
    <field x="-2"/>
  </colFields>
  <colItems count="3">
    <i>
      <x/>
    </i>
    <i i="1">
      <x v="1"/>
    </i>
    <i i="2">
      <x v="2"/>
    </i>
  </colItems>
  <dataFields count="3">
    <dataField name="Average of likes" fld="7" subtotal="average" baseField="3" baseItem="0" numFmtId="1"/>
    <dataField name="Average of shares" fld="9" subtotal="average" baseField="3" baseItem="0" numFmtId="1"/>
    <dataField name="Average of comments" fld="8" subtotal="average" baseField="3" baseItem="0" numFmtId="1"/>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131948-5C06-4E58-AC8D-95BAB3F24805}" name="PivotTable6"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5:B8" firstHeaderRow="1" firstDataRow="1" firstDataCol="1"/>
  <pivotFields count="21">
    <pivotField showAll="0"/>
    <pivotField showAll="0"/>
    <pivotField showAll="0"/>
    <pivotField axis="axisRow" showAll="0">
      <items count="4">
        <item x="1"/>
        <item x="0"/>
        <item x="2"/>
        <item t="default"/>
      </items>
    </pivotField>
    <pivotField numFmtId="14" showAll="0">
      <items count="267">
        <item x="35"/>
        <item x="134"/>
        <item x="104"/>
        <item x="209"/>
        <item x="15"/>
        <item x="212"/>
        <item x="101"/>
        <item x="34"/>
        <item x="38"/>
        <item x="144"/>
        <item x="4"/>
        <item x="24"/>
        <item x="246"/>
        <item x="102"/>
        <item x="96"/>
        <item x="49"/>
        <item x="248"/>
        <item x="80"/>
        <item x="123"/>
        <item x="189"/>
        <item x="156"/>
        <item x="185"/>
        <item x="254"/>
        <item x="56"/>
        <item x="89"/>
        <item x="18"/>
        <item x="0"/>
        <item x="85"/>
        <item x="154"/>
        <item x="226"/>
        <item x="106"/>
        <item x="69"/>
        <item x="211"/>
        <item x="172"/>
        <item x="121"/>
        <item x="64"/>
        <item x="109"/>
        <item x="86"/>
        <item x="203"/>
        <item x="171"/>
        <item x="128"/>
        <item x="31"/>
        <item x="180"/>
        <item x="11"/>
        <item x="218"/>
        <item x="229"/>
        <item x="264"/>
        <item x="243"/>
        <item x="30"/>
        <item x="2"/>
        <item x="43"/>
        <item x="23"/>
        <item x="221"/>
        <item x="175"/>
        <item x="113"/>
        <item x="119"/>
        <item x="222"/>
        <item x="63"/>
        <item x="238"/>
        <item x="90"/>
        <item x="13"/>
        <item x="194"/>
        <item x="3"/>
        <item x="179"/>
        <item x="16"/>
        <item x="136"/>
        <item x="130"/>
        <item x="78"/>
        <item x="186"/>
        <item x="205"/>
        <item x="163"/>
        <item x="111"/>
        <item x="108"/>
        <item x="77"/>
        <item x="181"/>
        <item x="26"/>
        <item x="98"/>
        <item x="33"/>
        <item x="199"/>
        <item x="234"/>
        <item x="230"/>
        <item x="256"/>
        <item x="170"/>
        <item x="151"/>
        <item x="79"/>
        <item x="231"/>
        <item x="169"/>
        <item x="48"/>
        <item x="105"/>
        <item x="40"/>
        <item x="138"/>
        <item x="116"/>
        <item x="76"/>
        <item x="25"/>
        <item x="197"/>
        <item x="153"/>
        <item x="61"/>
        <item x="174"/>
        <item x="235"/>
        <item x="176"/>
        <item x="159"/>
        <item x="21"/>
        <item x="263"/>
        <item x="216"/>
        <item x="83"/>
        <item x="233"/>
        <item x="6"/>
        <item x="129"/>
        <item x="55"/>
        <item x="17"/>
        <item x="58"/>
        <item x="46"/>
        <item x="259"/>
        <item x="262"/>
        <item x="62"/>
        <item x="82"/>
        <item x="195"/>
        <item x="214"/>
        <item x="54"/>
        <item x="37"/>
        <item x="74"/>
        <item x="173"/>
        <item x="141"/>
        <item x="39"/>
        <item x="91"/>
        <item x="72"/>
        <item x="148"/>
        <item x="147"/>
        <item x="7"/>
        <item x="28"/>
        <item x="215"/>
        <item x="81"/>
        <item x="65"/>
        <item x="206"/>
        <item x="239"/>
        <item x="122"/>
        <item x="252"/>
        <item x="114"/>
        <item x="227"/>
        <item x="12"/>
        <item x="160"/>
        <item x="190"/>
        <item x="92"/>
        <item x="223"/>
        <item x="47"/>
        <item x="200"/>
        <item x="167"/>
        <item x="155"/>
        <item x="20"/>
        <item x="27"/>
        <item x="22"/>
        <item x="45"/>
        <item x="258"/>
        <item x="251"/>
        <item x="133"/>
        <item x="94"/>
        <item x="57"/>
        <item x="52"/>
        <item x="158"/>
        <item x="257"/>
        <item x="253"/>
        <item x="59"/>
        <item x="213"/>
        <item x="237"/>
        <item x="41"/>
        <item x="183"/>
        <item x="182"/>
        <item x="75"/>
        <item x="29"/>
        <item x="204"/>
        <item x="127"/>
        <item x="162"/>
        <item x="241"/>
        <item x="32"/>
        <item x="177"/>
        <item x="247"/>
        <item x="53"/>
        <item x="187"/>
        <item x="88"/>
        <item x="9"/>
        <item x="73"/>
        <item x="110"/>
        <item x="84"/>
        <item x="132"/>
        <item x="120"/>
        <item x="68"/>
        <item x="118"/>
        <item x="240"/>
        <item x="60"/>
        <item x="265"/>
        <item x="217"/>
        <item x="42"/>
        <item x="140"/>
        <item x="220"/>
        <item x="255"/>
        <item x="178"/>
        <item x="224"/>
        <item x="164"/>
        <item x="135"/>
        <item x="87"/>
        <item x="137"/>
        <item x="44"/>
        <item x="139"/>
        <item x="5"/>
        <item x="184"/>
        <item x="261"/>
        <item x="201"/>
        <item x="51"/>
        <item x="126"/>
        <item x="100"/>
        <item x="152"/>
        <item x="70"/>
        <item x="125"/>
        <item x="143"/>
        <item x="124"/>
        <item x="193"/>
        <item x="150"/>
        <item x="107"/>
        <item x="250"/>
        <item x="168"/>
        <item x="149"/>
        <item x="165"/>
        <item x="207"/>
        <item x="146"/>
        <item x="97"/>
        <item x="66"/>
        <item x="228"/>
        <item x="192"/>
        <item x="1"/>
        <item x="161"/>
        <item x="260"/>
        <item x="71"/>
        <item x="19"/>
        <item x="14"/>
        <item x="142"/>
        <item x="236"/>
        <item x="103"/>
        <item x="210"/>
        <item x="188"/>
        <item x="208"/>
        <item x="50"/>
        <item x="242"/>
        <item x="232"/>
        <item x="8"/>
        <item x="191"/>
        <item x="112"/>
        <item x="145"/>
        <item x="99"/>
        <item x="202"/>
        <item x="117"/>
        <item x="67"/>
        <item x="219"/>
        <item x="95"/>
        <item x="249"/>
        <item x="115"/>
        <item x="245"/>
        <item x="225"/>
        <item x="157"/>
        <item x="166"/>
        <item x="244"/>
        <item x="36"/>
        <item x="198"/>
        <item x="131"/>
        <item x="10"/>
        <item x="196"/>
        <item x="93"/>
        <item t="default"/>
      </items>
    </pivotField>
    <pivotField showAll="0"/>
    <pivotField showAll="0"/>
    <pivotField showAll="0"/>
    <pivotField showAll="0"/>
    <pivotField showAll="0"/>
    <pivotField showAll="0"/>
    <pivotField showAll="0"/>
    <pivotField dataField="1" numFmtId="10"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3">
    <i>
      <x/>
    </i>
    <i>
      <x v="1"/>
    </i>
    <i>
      <x v="2"/>
    </i>
  </rowItems>
  <colItems count="1">
    <i/>
  </colItems>
  <dataFields count="1">
    <dataField name="Average of engagement_rate" fld="12" subtotal="average" baseField="3"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E39DC7-8DBB-43EB-9378-92209BF65D6D}" name="PivotTable8"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3:B45" firstHeaderRow="1" firstDataRow="1" firstDataCol="1"/>
  <pivotFields count="21">
    <pivotField showAll="0"/>
    <pivotField showAll="0"/>
    <pivotField showAll="0"/>
    <pivotField showAll="0">
      <items count="4">
        <item x="1"/>
        <item x="0"/>
        <item x="2"/>
        <item t="default"/>
      </items>
    </pivotField>
    <pivotField numFmtId="14" showAll="0">
      <items count="267">
        <item x="35"/>
        <item x="134"/>
        <item x="104"/>
        <item x="209"/>
        <item x="15"/>
        <item x="212"/>
        <item x="101"/>
        <item x="34"/>
        <item x="38"/>
        <item x="144"/>
        <item x="4"/>
        <item x="24"/>
        <item x="246"/>
        <item x="102"/>
        <item x="96"/>
        <item x="49"/>
        <item x="248"/>
        <item x="80"/>
        <item x="123"/>
        <item x="189"/>
        <item x="156"/>
        <item x="185"/>
        <item x="254"/>
        <item x="56"/>
        <item x="89"/>
        <item x="18"/>
        <item x="0"/>
        <item x="85"/>
        <item x="154"/>
        <item x="226"/>
        <item x="106"/>
        <item x="69"/>
        <item x="211"/>
        <item x="172"/>
        <item x="121"/>
        <item x="64"/>
        <item x="109"/>
        <item x="86"/>
        <item x="203"/>
        <item x="171"/>
        <item x="128"/>
        <item x="31"/>
        <item x="180"/>
        <item x="11"/>
        <item x="218"/>
        <item x="229"/>
        <item x="264"/>
        <item x="243"/>
        <item x="30"/>
        <item x="2"/>
        <item x="43"/>
        <item x="23"/>
        <item x="221"/>
        <item x="175"/>
        <item x="113"/>
        <item x="119"/>
        <item x="222"/>
        <item x="63"/>
        <item x="238"/>
        <item x="90"/>
        <item x="13"/>
        <item x="194"/>
        <item x="3"/>
        <item x="179"/>
        <item x="16"/>
        <item x="136"/>
        <item x="130"/>
        <item x="78"/>
        <item x="186"/>
        <item x="205"/>
        <item x="163"/>
        <item x="111"/>
        <item x="108"/>
        <item x="77"/>
        <item x="181"/>
        <item x="26"/>
        <item x="98"/>
        <item x="33"/>
        <item x="199"/>
        <item x="234"/>
        <item x="230"/>
        <item x="256"/>
        <item x="170"/>
        <item x="151"/>
        <item x="79"/>
        <item x="231"/>
        <item x="169"/>
        <item x="48"/>
        <item x="105"/>
        <item x="40"/>
        <item x="138"/>
        <item x="116"/>
        <item x="76"/>
        <item x="25"/>
        <item x="197"/>
        <item x="153"/>
        <item x="61"/>
        <item x="174"/>
        <item x="235"/>
        <item x="176"/>
        <item x="159"/>
        <item x="21"/>
        <item x="263"/>
        <item x="216"/>
        <item x="83"/>
        <item x="233"/>
        <item x="6"/>
        <item x="129"/>
        <item x="55"/>
        <item x="17"/>
        <item x="58"/>
        <item x="46"/>
        <item x="259"/>
        <item x="262"/>
        <item x="62"/>
        <item x="82"/>
        <item x="195"/>
        <item x="214"/>
        <item x="54"/>
        <item x="37"/>
        <item x="74"/>
        <item x="173"/>
        <item x="141"/>
        <item x="39"/>
        <item x="91"/>
        <item x="72"/>
        <item x="148"/>
        <item x="147"/>
        <item x="7"/>
        <item x="28"/>
        <item x="215"/>
        <item x="81"/>
        <item x="65"/>
        <item x="206"/>
        <item x="239"/>
        <item x="122"/>
        <item x="252"/>
        <item x="114"/>
        <item x="227"/>
        <item x="12"/>
        <item x="160"/>
        <item x="190"/>
        <item x="92"/>
        <item x="223"/>
        <item x="47"/>
        <item x="200"/>
        <item x="167"/>
        <item x="155"/>
        <item x="20"/>
        <item x="27"/>
        <item x="22"/>
        <item x="45"/>
        <item x="258"/>
        <item x="251"/>
        <item x="133"/>
        <item x="94"/>
        <item x="57"/>
        <item x="52"/>
        <item x="158"/>
        <item x="257"/>
        <item x="253"/>
        <item x="59"/>
        <item x="213"/>
        <item x="237"/>
        <item x="41"/>
        <item x="183"/>
        <item x="182"/>
        <item x="75"/>
        <item x="29"/>
        <item x="204"/>
        <item x="127"/>
        <item x="162"/>
        <item x="241"/>
        <item x="32"/>
        <item x="177"/>
        <item x="247"/>
        <item x="53"/>
        <item x="187"/>
        <item x="88"/>
        <item x="9"/>
        <item x="73"/>
        <item x="110"/>
        <item x="84"/>
        <item x="132"/>
        <item x="120"/>
        <item x="68"/>
        <item x="118"/>
        <item x="240"/>
        <item x="60"/>
        <item x="265"/>
        <item x="217"/>
        <item x="42"/>
        <item x="140"/>
        <item x="220"/>
        <item x="255"/>
        <item x="178"/>
        <item x="224"/>
        <item x="164"/>
        <item x="135"/>
        <item x="87"/>
        <item x="137"/>
        <item x="44"/>
        <item x="139"/>
        <item x="5"/>
        <item x="184"/>
        <item x="261"/>
        <item x="201"/>
        <item x="51"/>
        <item x="126"/>
        <item x="100"/>
        <item x="152"/>
        <item x="70"/>
        <item x="125"/>
        <item x="143"/>
        <item x="124"/>
        <item x="193"/>
        <item x="150"/>
        <item x="107"/>
        <item x="250"/>
        <item x="168"/>
        <item x="149"/>
        <item x="165"/>
        <item x="207"/>
        <item x="146"/>
        <item x="97"/>
        <item x="66"/>
        <item x="228"/>
        <item x="192"/>
        <item x="1"/>
        <item x="161"/>
        <item x="260"/>
        <item x="71"/>
        <item x="19"/>
        <item x="14"/>
        <item x="142"/>
        <item x="236"/>
        <item x="103"/>
        <item x="210"/>
        <item x="188"/>
        <item x="208"/>
        <item x="50"/>
        <item x="242"/>
        <item x="232"/>
        <item x="8"/>
        <item x="191"/>
        <item x="112"/>
        <item x="145"/>
        <item x="99"/>
        <item x="202"/>
        <item x="117"/>
        <item x="67"/>
        <item x="219"/>
        <item x="95"/>
        <item x="249"/>
        <item x="115"/>
        <item x="245"/>
        <item x="225"/>
        <item x="157"/>
        <item x="166"/>
        <item x="244"/>
        <item x="36"/>
        <item x="198"/>
        <item x="131"/>
        <item x="10"/>
        <item x="196"/>
        <item x="93"/>
        <item t="default"/>
      </items>
    </pivotField>
    <pivotField showAll="0"/>
    <pivotField showAll="0"/>
    <pivotField showAll="0"/>
    <pivotField showAll="0"/>
    <pivotField showAll="0"/>
    <pivotField showAll="0"/>
    <pivotField showAll="0"/>
    <pivotField numFmtId="10" showAll="0"/>
    <pivotField showAll="0"/>
    <pivotField showAll="0"/>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0"/>
  </rowFields>
  <rowItems count="12">
    <i>
      <x v="1"/>
    </i>
    <i>
      <x v="2"/>
    </i>
    <i>
      <x v="3"/>
    </i>
    <i>
      <x v="4"/>
    </i>
    <i>
      <x v="5"/>
    </i>
    <i>
      <x v="6"/>
    </i>
    <i>
      <x v="7"/>
    </i>
    <i>
      <x v="8"/>
    </i>
    <i>
      <x v="9"/>
    </i>
    <i>
      <x v="10"/>
    </i>
    <i>
      <x v="11"/>
    </i>
    <i>
      <x v="12"/>
    </i>
  </rowItems>
  <colItems count="1">
    <i/>
  </colItems>
  <dataFields count="1">
    <dataField name="Sum of follower_gain" fld="17"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9B957A-00F1-45F5-9AB9-4B57746EFDE5}"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H5" firstHeaderRow="1" firstDataRow="1" firstDataCol="0"/>
  <pivotFields count="21">
    <pivotField showAll="0"/>
    <pivotField showAll="0"/>
    <pivotField showAll="0"/>
    <pivotField showAll="0">
      <items count="4">
        <item x="1"/>
        <item x="0"/>
        <item x="2"/>
        <item t="default"/>
      </items>
    </pivotField>
    <pivotField numFmtId="14" showAll="0">
      <items count="267">
        <item x="35"/>
        <item x="134"/>
        <item x="104"/>
        <item x="209"/>
        <item x="15"/>
        <item x="212"/>
        <item x="101"/>
        <item x="34"/>
        <item x="38"/>
        <item x="144"/>
        <item x="4"/>
        <item x="24"/>
        <item x="246"/>
        <item x="102"/>
        <item x="96"/>
        <item x="49"/>
        <item x="248"/>
        <item x="80"/>
        <item x="123"/>
        <item x="189"/>
        <item x="156"/>
        <item x="185"/>
        <item x="254"/>
        <item x="56"/>
        <item x="89"/>
        <item x="18"/>
        <item x="0"/>
        <item x="85"/>
        <item x="154"/>
        <item x="226"/>
        <item x="106"/>
        <item x="69"/>
        <item x="211"/>
        <item x="172"/>
        <item x="121"/>
        <item x="64"/>
        <item x="109"/>
        <item x="86"/>
        <item x="203"/>
        <item x="171"/>
        <item x="128"/>
        <item x="31"/>
        <item x="180"/>
        <item x="11"/>
        <item x="218"/>
        <item x="229"/>
        <item x="264"/>
        <item x="243"/>
        <item x="30"/>
        <item x="2"/>
        <item x="43"/>
        <item x="23"/>
        <item x="221"/>
        <item x="175"/>
        <item x="113"/>
        <item x="119"/>
        <item x="222"/>
        <item x="63"/>
        <item x="238"/>
        <item x="90"/>
        <item x="13"/>
        <item x="194"/>
        <item x="3"/>
        <item x="179"/>
        <item x="16"/>
        <item x="136"/>
        <item x="130"/>
        <item x="78"/>
        <item x="186"/>
        <item x="205"/>
        <item x="163"/>
        <item x="111"/>
        <item x="108"/>
        <item x="77"/>
        <item x="181"/>
        <item x="26"/>
        <item x="98"/>
        <item x="33"/>
        <item x="199"/>
        <item x="234"/>
        <item x="230"/>
        <item x="256"/>
        <item x="170"/>
        <item x="151"/>
        <item x="79"/>
        <item x="231"/>
        <item x="169"/>
        <item x="48"/>
        <item x="105"/>
        <item x="40"/>
        <item x="138"/>
        <item x="116"/>
        <item x="76"/>
        <item x="25"/>
        <item x="197"/>
        <item x="153"/>
        <item x="61"/>
        <item x="174"/>
        <item x="235"/>
        <item x="176"/>
        <item x="159"/>
        <item x="21"/>
        <item x="263"/>
        <item x="216"/>
        <item x="83"/>
        <item x="233"/>
        <item x="6"/>
        <item x="129"/>
        <item x="55"/>
        <item x="17"/>
        <item x="58"/>
        <item x="46"/>
        <item x="259"/>
        <item x="262"/>
        <item x="62"/>
        <item x="82"/>
        <item x="195"/>
        <item x="214"/>
        <item x="54"/>
        <item x="37"/>
        <item x="74"/>
        <item x="173"/>
        <item x="141"/>
        <item x="39"/>
        <item x="91"/>
        <item x="72"/>
        <item x="148"/>
        <item x="147"/>
        <item x="7"/>
        <item x="28"/>
        <item x="215"/>
        <item x="81"/>
        <item x="65"/>
        <item x="206"/>
        <item x="239"/>
        <item x="122"/>
        <item x="252"/>
        <item x="114"/>
        <item x="227"/>
        <item x="12"/>
        <item x="160"/>
        <item x="190"/>
        <item x="92"/>
        <item x="223"/>
        <item x="47"/>
        <item x="200"/>
        <item x="167"/>
        <item x="155"/>
        <item x="20"/>
        <item x="27"/>
        <item x="22"/>
        <item x="45"/>
        <item x="258"/>
        <item x="251"/>
        <item x="133"/>
        <item x="94"/>
        <item x="57"/>
        <item x="52"/>
        <item x="158"/>
        <item x="257"/>
        <item x="253"/>
        <item x="59"/>
        <item x="213"/>
        <item x="237"/>
        <item x="41"/>
        <item x="183"/>
        <item x="182"/>
        <item x="75"/>
        <item x="29"/>
        <item x="204"/>
        <item x="127"/>
        <item x="162"/>
        <item x="241"/>
        <item x="32"/>
        <item x="177"/>
        <item x="247"/>
        <item x="53"/>
        <item x="187"/>
        <item x="88"/>
        <item x="9"/>
        <item x="73"/>
        <item x="110"/>
        <item x="84"/>
        <item x="132"/>
        <item x="120"/>
        <item x="68"/>
        <item x="118"/>
        <item x="240"/>
        <item x="60"/>
        <item x="265"/>
        <item x="217"/>
        <item x="42"/>
        <item x="140"/>
        <item x="220"/>
        <item x="255"/>
        <item x="178"/>
        <item x="224"/>
        <item x="164"/>
        <item x="135"/>
        <item x="87"/>
        <item x="137"/>
        <item x="44"/>
        <item x="139"/>
        <item x="5"/>
        <item x="184"/>
        <item x="261"/>
        <item x="201"/>
        <item x="51"/>
        <item x="126"/>
        <item x="100"/>
        <item x="152"/>
        <item x="70"/>
        <item x="125"/>
        <item x="143"/>
        <item x="124"/>
        <item x="193"/>
        <item x="150"/>
        <item x="107"/>
        <item x="250"/>
        <item x="168"/>
        <item x="149"/>
        <item x="165"/>
        <item x="207"/>
        <item x="146"/>
        <item x="97"/>
        <item x="66"/>
        <item x="228"/>
        <item x="192"/>
        <item x="1"/>
        <item x="161"/>
        <item x="260"/>
        <item x="71"/>
        <item x="19"/>
        <item x="14"/>
        <item x="142"/>
        <item x="236"/>
        <item x="103"/>
        <item x="210"/>
        <item x="188"/>
        <item x="208"/>
        <item x="50"/>
        <item x="242"/>
        <item x="232"/>
        <item x="8"/>
        <item x="191"/>
        <item x="112"/>
        <item x="145"/>
        <item x="99"/>
        <item x="202"/>
        <item x="117"/>
        <item x="67"/>
        <item x="219"/>
        <item x="95"/>
        <item x="249"/>
        <item x="115"/>
        <item x="245"/>
        <item x="225"/>
        <item x="157"/>
        <item x="166"/>
        <item x="244"/>
        <item x="36"/>
        <item x="198"/>
        <item x="131"/>
        <item x="10"/>
        <item x="196"/>
        <item x="93"/>
        <item t="default"/>
      </items>
    </pivotField>
    <pivotField showAll="0"/>
    <pivotField showAll="0"/>
    <pivotField showAll="0"/>
    <pivotField showAll="0"/>
    <pivotField showAll="0"/>
    <pivotField dataField="1" showAll="0"/>
    <pivotField showAll="0"/>
    <pivotField numFmtId="10"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ach" fld="10"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5204D7-302B-4CDA-8180-9C3753ACDDA3}"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F5" firstHeaderRow="1" firstDataRow="1" firstDataCol="0"/>
  <pivotFields count="21">
    <pivotField showAll="0"/>
    <pivotField showAll="0"/>
    <pivotField showAll="0"/>
    <pivotField showAll="0">
      <items count="4">
        <item x="1"/>
        <item x="0"/>
        <item x="2"/>
        <item t="default"/>
      </items>
    </pivotField>
    <pivotField numFmtId="14" showAll="0">
      <items count="267">
        <item x="35"/>
        <item x="134"/>
        <item x="104"/>
        <item x="209"/>
        <item x="15"/>
        <item x="212"/>
        <item x="101"/>
        <item x="34"/>
        <item x="38"/>
        <item x="144"/>
        <item x="4"/>
        <item x="24"/>
        <item x="246"/>
        <item x="102"/>
        <item x="96"/>
        <item x="49"/>
        <item x="248"/>
        <item x="80"/>
        <item x="123"/>
        <item x="189"/>
        <item x="156"/>
        <item x="185"/>
        <item x="254"/>
        <item x="56"/>
        <item x="89"/>
        <item x="18"/>
        <item x="0"/>
        <item x="85"/>
        <item x="154"/>
        <item x="226"/>
        <item x="106"/>
        <item x="69"/>
        <item x="211"/>
        <item x="172"/>
        <item x="121"/>
        <item x="64"/>
        <item x="109"/>
        <item x="86"/>
        <item x="203"/>
        <item x="171"/>
        <item x="128"/>
        <item x="31"/>
        <item x="180"/>
        <item x="11"/>
        <item x="218"/>
        <item x="229"/>
        <item x="264"/>
        <item x="243"/>
        <item x="30"/>
        <item x="2"/>
        <item x="43"/>
        <item x="23"/>
        <item x="221"/>
        <item x="175"/>
        <item x="113"/>
        <item x="119"/>
        <item x="222"/>
        <item x="63"/>
        <item x="238"/>
        <item x="90"/>
        <item x="13"/>
        <item x="194"/>
        <item x="3"/>
        <item x="179"/>
        <item x="16"/>
        <item x="136"/>
        <item x="130"/>
        <item x="78"/>
        <item x="186"/>
        <item x="205"/>
        <item x="163"/>
        <item x="111"/>
        <item x="108"/>
        <item x="77"/>
        <item x="181"/>
        <item x="26"/>
        <item x="98"/>
        <item x="33"/>
        <item x="199"/>
        <item x="234"/>
        <item x="230"/>
        <item x="256"/>
        <item x="170"/>
        <item x="151"/>
        <item x="79"/>
        <item x="231"/>
        <item x="169"/>
        <item x="48"/>
        <item x="105"/>
        <item x="40"/>
        <item x="138"/>
        <item x="116"/>
        <item x="76"/>
        <item x="25"/>
        <item x="197"/>
        <item x="153"/>
        <item x="61"/>
        <item x="174"/>
        <item x="235"/>
        <item x="176"/>
        <item x="159"/>
        <item x="21"/>
        <item x="263"/>
        <item x="216"/>
        <item x="83"/>
        <item x="233"/>
        <item x="6"/>
        <item x="129"/>
        <item x="55"/>
        <item x="17"/>
        <item x="58"/>
        <item x="46"/>
        <item x="259"/>
        <item x="262"/>
        <item x="62"/>
        <item x="82"/>
        <item x="195"/>
        <item x="214"/>
        <item x="54"/>
        <item x="37"/>
        <item x="74"/>
        <item x="173"/>
        <item x="141"/>
        <item x="39"/>
        <item x="91"/>
        <item x="72"/>
        <item x="148"/>
        <item x="147"/>
        <item x="7"/>
        <item x="28"/>
        <item x="215"/>
        <item x="81"/>
        <item x="65"/>
        <item x="206"/>
        <item x="239"/>
        <item x="122"/>
        <item x="252"/>
        <item x="114"/>
        <item x="227"/>
        <item x="12"/>
        <item x="160"/>
        <item x="190"/>
        <item x="92"/>
        <item x="223"/>
        <item x="47"/>
        <item x="200"/>
        <item x="167"/>
        <item x="155"/>
        <item x="20"/>
        <item x="27"/>
        <item x="22"/>
        <item x="45"/>
        <item x="258"/>
        <item x="251"/>
        <item x="133"/>
        <item x="94"/>
        <item x="57"/>
        <item x="52"/>
        <item x="158"/>
        <item x="257"/>
        <item x="253"/>
        <item x="59"/>
        <item x="213"/>
        <item x="237"/>
        <item x="41"/>
        <item x="183"/>
        <item x="182"/>
        <item x="75"/>
        <item x="29"/>
        <item x="204"/>
        <item x="127"/>
        <item x="162"/>
        <item x="241"/>
        <item x="32"/>
        <item x="177"/>
        <item x="247"/>
        <item x="53"/>
        <item x="187"/>
        <item x="88"/>
        <item x="9"/>
        <item x="73"/>
        <item x="110"/>
        <item x="84"/>
        <item x="132"/>
        <item x="120"/>
        <item x="68"/>
        <item x="118"/>
        <item x="240"/>
        <item x="60"/>
        <item x="265"/>
        <item x="217"/>
        <item x="42"/>
        <item x="140"/>
        <item x="220"/>
        <item x="255"/>
        <item x="178"/>
        <item x="224"/>
        <item x="164"/>
        <item x="135"/>
        <item x="87"/>
        <item x="137"/>
        <item x="44"/>
        <item x="139"/>
        <item x="5"/>
        <item x="184"/>
        <item x="261"/>
        <item x="201"/>
        <item x="51"/>
        <item x="126"/>
        <item x="100"/>
        <item x="152"/>
        <item x="70"/>
        <item x="125"/>
        <item x="143"/>
        <item x="124"/>
        <item x="193"/>
        <item x="150"/>
        <item x="107"/>
        <item x="250"/>
        <item x="168"/>
        <item x="149"/>
        <item x="165"/>
        <item x="207"/>
        <item x="146"/>
        <item x="97"/>
        <item x="66"/>
        <item x="228"/>
        <item x="192"/>
        <item x="1"/>
        <item x="161"/>
        <item x="260"/>
        <item x="71"/>
        <item x="19"/>
        <item x="14"/>
        <item x="142"/>
        <item x="236"/>
        <item x="103"/>
        <item x="210"/>
        <item x="188"/>
        <item x="208"/>
        <item x="50"/>
        <item x="242"/>
        <item x="232"/>
        <item x="8"/>
        <item x="191"/>
        <item x="112"/>
        <item x="145"/>
        <item x="99"/>
        <item x="202"/>
        <item x="117"/>
        <item x="67"/>
        <item x="219"/>
        <item x="95"/>
        <item x="249"/>
        <item x="115"/>
        <item x="245"/>
        <item x="225"/>
        <item x="157"/>
        <item x="166"/>
        <item x="244"/>
        <item x="36"/>
        <item x="198"/>
        <item x="131"/>
        <item x="10"/>
        <item x="196"/>
        <item x="93"/>
        <item t="default"/>
      </items>
    </pivotField>
    <pivotField showAll="0"/>
    <pivotField showAll="0"/>
    <pivotField showAll="0"/>
    <pivotField showAll="0"/>
    <pivotField showAll="0"/>
    <pivotField showAll="0"/>
    <pivotField showAll="0"/>
    <pivotField dataField="1" numFmtId="10"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engagement_rate" fld="12"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E903C67-BCF8-4FDC-BE8C-FBDA136D54EB}"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C5" firstHeaderRow="1" firstDataRow="1" firstDataCol="0"/>
  <pivotFields count="21">
    <pivotField showAll="0"/>
    <pivotField showAll="0"/>
    <pivotField showAll="0"/>
    <pivotField showAll="0">
      <items count="4">
        <item x="1"/>
        <item x="0"/>
        <item x="2"/>
        <item t="default"/>
      </items>
    </pivotField>
    <pivotField numFmtId="14" showAll="0">
      <items count="267">
        <item x="35"/>
        <item x="134"/>
        <item x="104"/>
        <item x="209"/>
        <item x="15"/>
        <item x="212"/>
        <item x="101"/>
        <item x="34"/>
        <item x="38"/>
        <item x="144"/>
        <item x="4"/>
        <item x="24"/>
        <item x="246"/>
        <item x="102"/>
        <item x="96"/>
        <item x="49"/>
        <item x="248"/>
        <item x="80"/>
        <item x="123"/>
        <item x="189"/>
        <item x="156"/>
        <item x="185"/>
        <item x="254"/>
        <item x="56"/>
        <item x="89"/>
        <item x="18"/>
        <item x="0"/>
        <item x="85"/>
        <item x="154"/>
        <item x="226"/>
        <item x="106"/>
        <item x="69"/>
        <item x="211"/>
        <item x="172"/>
        <item x="121"/>
        <item x="64"/>
        <item x="109"/>
        <item x="86"/>
        <item x="203"/>
        <item x="171"/>
        <item x="128"/>
        <item x="31"/>
        <item x="180"/>
        <item x="11"/>
        <item x="218"/>
        <item x="229"/>
        <item x="264"/>
        <item x="243"/>
        <item x="30"/>
        <item x="2"/>
        <item x="43"/>
        <item x="23"/>
        <item x="221"/>
        <item x="175"/>
        <item x="113"/>
        <item x="119"/>
        <item x="222"/>
        <item x="63"/>
        <item x="238"/>
        <item x="90"/>
        <item x="13"/>
        <item x="194"/>
        <item x="3"/>
        <item x="179"/>
        <item x="16"/>
        <item x="136"/>
        <item x="130"/>
        <item x="78"/>
        <item x="186"/>
        <item x="205"/>
        <item x="163"/>
        <item x="111"/>
        <item x="108"/>
        <item x="77"/>
        <item x="181"/>
        <item x="26"/>
        <item x="98"/>
        <item x="33"/>
        <item x="199"/>
        <item x="234"/>
        <item x="230"/>
        <item x="256"/>
        <item x="170"/>
        <item x="151"/>
        <item x="79"/>
        <item x="231"/>
        <item x="169"/>
        <item x="48"/>
        <item x="105"/>
        <item x="40"/>
        <item x="138"/>
        <item x="116"/>
        <item x="76"/>
        <item x="25"/>
        <item x="197"/>
        <item x="153"/>
        <item x="61"/>
        <item x="174"/>
        <item x="235"/>
        <item x="176"/>
        <item x="159"/>
        <item x="21"/>
        <item x="263"/>
        <item x="216"/>
        <item x="83"/>
        <item x="233"/>
        <item x="6"/>
        <item x="129"/>
        <item x="55"/>
        <item x="17"/>
        <item x="58"/>
        <item x="46"/>
        <item x="259"/>
        <item x="262"/>
        <item x="62"/>
        <item x="82"/>
        <item x="195"/>
        <item x="214"/>
        <item x="54"/>
        <item x="37"/>
        <item x="74"/>
        <item x="173"/>
        <item x="141"/>
        <item x="39"/>
        <item x="91"/>
        <item x="72"/>
        <item x="148"/>
        <item x="147"/>
        <item x="7"/>
        <item x="28"/>
        <item x="215"/>
        <item x="81"/>
        <item x="65"/>
        <item x="206"/>
        <item x="239"/>
        <item x="122"/>
        <item x="252"/>
        <item x="114"/>
        <item x="227"/>
        <item x="12"/>
        <item x="160"/>
        <item x="190"/>
        <item x="92"/>
        <item x="223"/>
        <item x="47"/>
        <item x="200"/>
        <item x="167"/>
        <item x="155"/>
        <item x="20"/>
        <item x="27"/>
        <item x="22"/>
        <item x="45"/>
        <item x="258"/>
        <item x="251"/>
        <item x="133"/>
        <item x="94"/>
        <item x="57"/>
        <item x="52"/>
        <item x="158"/>
        <item x="257"/>
        <item x="253"/>
        <item x="59"/>
        <item x="213"/>
        <item x="237"/>
        <item x="41"/>
        <item x="183"/>
        <item x="182"/>
        <item x="75"/>
        <item x="29"/>
        <item x="204"/>
        <item x="127"/>
        <item x="162"/>
        <item x="241"/>
        <item x="32"/>
        <item x="177"/>
        <item x="247"/>
        <item x="53"/>
        <item x="187"/>
        <item x="88"/>
        <item x="9"/>
        <item x="73"/>
        <item x="110"/>
        <item x="84"/>
        <item x="132"/>
        <item x="120"/>
        <item x="68"/>
        <item x="118"/>
        <item x="240"/>
        <item x="60"/>
        <item x="265"/>
        <item x="217"/>
        <item x="42"/>
        <item x="140"/>
        <item x="220"/>
        <item x="255"/>
        <item x="178"/>
        <item x="224"/>
        <item x="164"/>
        <item x="135"/>
        <item x="87"/>
        <item x="137"/>
        <item x="44"/>
        <item x="139"/>
        <item x="5"/>
        <item x="184"/>
        <item x="261"/>
        <item x="201"/>
        <item x="51"/>
        <item x="126"/>
        <item x="100"/>
        <item x="152"/>
        <item x="70"/>
        <item x="125"/>
        <item x="143"/>
        <item x="124"/>
        <item x="193"/>
        <item x="150"/>
        <item x="107"/>
        <item x="250"/>
        <item x="168"/>
        <item x="149"/>
        <item x="165"/>
        <item x="207"/>
        <item x="146"/>
        <item x="97"/>
        <item x="66"/>
        <item x="228"/>
        <item x="192"/>
        <item x="1"/>
        <item x="161"/>
        <item x="260"/>
        <item x="71"/>
        <item x="19"/>
        <item x="14"/>
        <item x="142"/>
        <item x="236"/>
        <item x="103"/>
        <item x="210"/>
        <item x="188"/>
        <item x="208"/>
        <item x="50"/>
        <item x="242"/>
        <item x="232"/>
        <item x="8"/>
        <item x="191"/>
        <item x="112"/>
        <item x="145"/>
        <item x="99"/>
        <item x="202"/>
        <item x="117"/>
        <item x="67"/>
        <item x="219"/>
        <item x="95"/>
        <item x="249"/>
        <item x="115"/>
        <item x="245"/>
        <item x="225"/>
        <item x="157"/>
        <item x="166"/>
        <item x="244"/>
        <item x="36"/>
        <item x="198"/>
        <item x="131"/>
        <item x="10"/>
        <item x="196"/>
        <item x="93"/>
        <item t="default"/>
      </items>
    </pivotField>
    <pivotField showAll="0"/>
    <pivotField showAll="0"/>
    <pivotField showAll="0"/>
    <pivotField showAll="0"/>
    <pivotField showAll="0"/>
    <pivotField showAll="0"/>
    <pivotField showAll="0"/>
    <pivotField numFmtId="10"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follower_gain"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7ECDC1D-B0A8-47BA-AB16-EE9752CC47F9}"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21">
    <pivotField showAll="0"/>
    <pivotField showAll="0"/>
    <pivotField showAll="0"/>
    <pivotField showAll="0">
      <items count="4">
        <item x="1"/>
        <item x="0"/>
        <item x="2"/>
        <item t="default"/>
      </items>
    </pivotField>
    <pivotField numFmtId="14" showAll="0">
      <items count="267">
        <item x="35"/>
        <item x="134"/>
        <item x="104"/>
        <item x="209"/>
        <item x="15"/>
        <item x="212"/>
        <item x="101"/>
        <item x="34"/>
        <item x="38"/>
        <item x="144"/>
        <item x="4"/>
        <item x="24"/>
        <item x="246"/>
        <item x="102"/>
        <item x="96"/>
        <item x="49"/>
        <item x="248"/>
        <item x="80"/>
        <item x="123"/>
        <item x="189"/>
        <item x="156"/>
        <item x="185"/>
        <item x="254"/>
        <item x="56"/>
        <item x="89"/>
        <item x="18"/>
        <item x="0"/>
        <item x="85"/>
        <item x="154"/>
        <item x="226"/>
        <item x="106"/>
        <item x="69"/>
        <item x="211"/>
        <item x="172"/>
        <item x="121"/>
        <item x="64"/>
        <item x="109"/>
        <item x="86"/>
        <item x="203"/>
        <item x="171"/>
        <item x="128"/>
        <item x="31"/>
        <item x="180"/>
        <item x="11"/>
        <item x="218"/>
        <item x="229"/>
        <item x="264"/>
        <item x="243"/>
        <item x="30"/>
        <item x="2"/>
        <item x="43"/>
        <item x="23"/>
        <item x="221"/>
        <item x="175"/>
        <item x="113"/>
        <item x="119"/>
        <item x="222"/>
        <item x="63"/>
        <item x="238"/>
        <item x="90"/>
        <item x="13"/>
        <item x="194"/>
        <item x="3"/>
        <item x="179"/>
        <item x="16"/>
        <item x="136"/>
        <item x="130"/>
        <item x="78"/>
        <item x="186"/>
        <item x="205"/>
        <item x="163"/>
        <item x="111"/>
        <item x="108"/>
        <item x="77"/>
        <item x="181"/>
        <item x="26"/>
        <item x="98"/>
        <item x="33"/>
        <item x="199"/>
        <item x="234"/>
        <item x="230"/>
        <item x="256"/>
        <item x="170"/>
        <item x="151"/>
        <item x="79"/>
        <item x="231"/>
        <item x="169"/>
        <item x="48"/>
        <item x="105"/>
        <item x="40"/>
        <item x="138"/>
        <item x="116"/>
        <item x="76"/>
        <item x="25"/>
        <item x="197"/>
        <item x="153"/>
        <item x="61"/>
        <item x="174"/>
        <item x="235"/>
        <item x="176"/>
        <item x="159"/>
        <item x="21"/>
        <item x="263"/>
        <item x="216"/>
        <item x="83"/>
        <item x="233"/>
        <item x="6"/>
        <item x="129"/>
        <item x="55"/>
        <item x="17"/>
        <item x="58"/>
        <item x="46"/>
        <item x="259"/>
        <item x="262"/>
        <item x="62"/>
        <item x="82"/>
        <item x="195"/>
        <item x="214"/>
        <item x="54"/>
        <item x="37"/>
        <item x="74"/>
        <item x="173"/>
        <item x="141"/>
        <item x="39"/>
        <item x="91"/>
        <item x="72"/>
        <item x="148"/>
        <item x="147"/>
        <item x="7"/>
        <item x="28"/>
        <item x="215"/>
        <item x="81"/>
        <item x="65"/>
        <item x="206"/>
        <item x="239"/>
        <item x="122"/>
        <item x="252"/>
        <item x="114"/>
        <item x="227"/>
        <item x="12"/>
        <item x="160"/>
        <item x="190"/>
        <item x="92"/>
        <item x="223"/>
        <item x="47"/>
        <item x="200"/>
        <item x="167"/>
        <item x="155"/>
        <item x="20"/>
        <item x="27"/>
        <item x="22"/>
        <item x="45"/>
        <item x="258"/>
        <item x="251"/>
        <item x="133"/>
        <item x="94"/>
        <item x="57"/>
        <item x="52"/>
        <item x="158"/>
        <item x="257"/>
        <item x="253"/>
        <item x="59"/>
        <item x="213"/>
        <item x="237"/>
        <item x="41"/>
        <item x="183"/>
        <item x="182"/>
        <item x="75"/>
        <item x="29"/>
        <item x="204"/>
        <item x="127"/>
        <item x="162"/>
        <item x="241"/>
        <item x="32"/>
        <item x="177"/>
        <item x="247"/>
        <item x="53"/>
        <item x="187"/>
        <item x="88"/>
        <item x="9"/>
        <item x="73"/>
        <item x="110"/>
        <item x="84"/>
        <item x="132"/>
        <item x="120"/>
        <item x="68"/>
        <item x="118"/>
        <item x="240"/>
        <item x="60"/>
        <item x="265"/>
        <item x="217"/>
        <item x="42"/>
        <item x="140"/>
        <item x="220"/>
        <item x="255"/>
        <item x="178"/>
        <item x="224"/>
        <item x="164"/>
        <item x="135"/>
        <item x="87"/>
        <item x="137"/>
        <item x="44"/>
        <item x="139"/>
        <item x="5"/>
        <item x="184"/>
        <item x="261"/>
        <item x="201"/>
        <item x="51"/>
        <item x="126"/>
        <item x="100"/>
        <item x="152"/>
        <item x="70"/>
        <item x="125"/>
        <item x="143"/>
        <item x="124"/>
        <item x="193"/>
        <item x="150"/>
        <item x="107"/>
        <item x="250"/>
        <item x="168"/>
        <item x="149"/>
        <item x="165"/>
        <item x="207"/>
        <item x="146"/>
        <item x="97"/>
        <item x="66"/>
        <item x="228"/>
        <item x="192"/>
        <item x="1"/>
        <item x="161"/>
        <item x="260"/>
        <item x="71"/>
        <item x="19"/>
        <item x="14"/>
        <item x="142"/>
        <item x="236"/>
        <item x="103"/>
        <item x="210"/>
        <item x="188"/>
        <item x="208"/>
        <item x="50"/>
        <item x="242"/>
        <item x="232"/>
        <item x="8"/>
        <item x="191"/>
        <item x="112"/>
        <item x="145"/>
        <item x="99"/>
        <item x="202"/>
        <item x="117"/>
        <item x="67"/>
        <item x="219"/>
        <item x="95"/>
        <item x="249"/>
        <item x="115"/>
        <item x="245"/>
        <item x="225"/>
        <item x="157"/>
        <item x="166"/>
        <item x="244"/>
        <item x="36"/>
        <item x="198"/>
        <item x="131"/>
        <item x="10"/>
        <item x="196"/>
        <item x="93"/>
        <item t="default"/>
      </items>
    </pivotField>
    <pivotField dataField="1" showAll="0"/>
    <pivotField showAll="0"/>
    <pivotField showAll="0"/>
    <pivotField showAll="0"/>
    <pivotField showAll="0"/>
    <pivotField showAll="0"/>
    <pivotField showAll="0"/>
    <pivotField numFmtId="10"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Max of followers_at_post" fld="5"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AE47836-B309-49B8-96B9-F06A49CB0843}"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J5" firstHeaderRow="1" firstDataRow="1" firstDataCol="0"/>
  <pivotFields count="21">
    <pivotField showAll="0"/>
    <pivotField showAll="0"/>
    <pivotField showAll="0"/>
    <pivotField showAll="0">
      <items count="4">
        <item x="1"/>
        <item x="0"/>
        <item x="2"/>
        <item t="default"/>
      </items>
    </pivotField>
    <pivotField numFmtId="14" showAll="0">
      <items count="267">
        <item x="35"/>
        <item x="134"/>
        <item x="104"/>
        <item x="209"/>
        <item x="15"/>
        <item x="212"/>
        <item x="101"/>
        <item x="34"/>
        <item x="38"/>
        <item x="144"/>
        <item x="4"/>
        <item x="24"/>
        <item x="246"/>
        <item x="102"/>
        <item x="96"/>
        <item x="49"/>
        <item x="248"/>
        <item x="80"/>
        <item x="123"/>
        <item x="189"/>
        <item x="156"/>
        <item x="185"/>
        <item x="254"/>
        <item x="56"/>
        <item x="89"/>
        <item x="18"/>
        <item x="0"/>
        <item x="85"/>
        <item x="154"/>
        <item x="226"/>
        <item x="106"/>
        <item x="69"/>
        <item x="211"/>
        <item x="172"/>
        <item x="121"/>
        <item x="64"/>
        <item x="109"/>
        <item x="86"/>
        <item x="203"/>
        <item x="171"/>
        <item x="128"/>
        <item x="31"/>
        <item x="180"/>
        <item x="11"/>
        <item x="218"/>
        <item x="229"/>
        <item x="264"/>
        <item x="243"/>
        <item x="30"/>
        <item x="2"/>
        <item x="43"/>
        <item x="23"/>
        <item x="221"/>
        <item x="175"/>
        <item x="113"/>
        <item x="119"/>
        <item x="222"/>
        <item x="63"/>
        <item x="238"/>
        <item x="90"/>
        <item x="13"/>
        <item x="194"/>
        <item x="3"/>
        <item x="179"/>
        <item x="16"/>
        <item x="136"/>
        <item x="130"/>
        <item x="78"/>
        <item x="186"/>
        <item x="205"/>
        <item x="163"/>
        <item x="111"/>
        <item x="108"/>
        <item x="77"/>
        <item x="181"/>
        <item x="26"/>
        <item x="98"/>
        <item x="33"/>
        <item x="199"/>
        <item x="234"/>
        <item x="230"/>
        <item x="256"/>
        <item x="170"/>
        <item x="151"/>
        <item x="79"/>
        <item x="231"/>
        <item x="169"/>
        <item x="48"/>
        <item x="105"/>
        <item x="40"/>
        <item x="138"/>
        <item x="116"/>
        <item x="76"/>
        <item x="25"/>
        <item x="197"/>
        <item x="153"/>
        <item x="61"/>
        <item x="174"/>
        <item x="235"/>
        <item x="176"/>
        <item x="159"/>
        <item x="21"/>
        <item x="263"/>
        <item x="216"/>
        <item x="83"/>
        <item x="233"/>
        <item x="6"/>
        <item x="129"/>
        <item x="55"/>
        <item x="17"/>
        <item x="58"/>
        <item x="46"/>
        <item x="259"/>
        <item x="262"/>
        <item x="62"/>
        <item x="82"/>
        <item x="195"/>
        <item x="214"/>
        <item x="54"/>
        <item x="37"/>
        <item x="74"/>
        <item x="173"/>
        <item x="141"/>
        <item x="39"/>
        <item x="91"/>
        <item x="72"/>
        <item x="148"/>
        <item x="147"/>
        <item x="7"/>
        <item x="28"/>
        <item x="215"/>
        <item x="81"/>
        <item x="65"/>
        <item x="206"/>
        <item x="239"/>
        <item x="122"/>
        <item x="252"/>
        <item x="114"/>
        <item x="227"/>
        <item x="12"/>
        <item x="160"/>
        <item x="190"/>
        <item x="92"/>
        <item x="223"/>
        <item x="47"/>
        <item x="200"/>
        <item x="167"/>
        <item x="155"/>
        <item x="20"/>
        <item x="27"/>
        <item x="22"/>
        <item x="45"/>
        <item x="258"/>
        <item x="251"/>
        <item x="133"/>
        <item x="94"/>
        <item x="57"/>
        <item x="52"/>
        <item x="158"/>
        <item x="257"/>
        <item x="253"/>
        <item x="59"/>
        <item x="213"/>
        <item x="237"/>
        <item x="41"/>
        <item x="183"/>
        <item x="182"/>
        <item x="75"/>
        <item x="29"/>
        <item x="204"/>
        <item x="127"/>
        <item x="162"/>
        <item x="241"/>
        <item x="32"/>
        <item x="177"/>
        <item x="247"/>
        <item x="53"/>
        <item x="187"/>
        <item x="88"/>
        <item x="9"/>
        <item x="73"/>
        <item x="110"/>
        <item x="84"/>
        <item x="132"/>
        <item x="120"/>
        <item x="68"/>
        <item x="118"/>
        <item x="240"/>
        <item x="60"/>
        <item x="265"/>
        <item x="217"/>
        <item x="42"/>
        <item x="140"/>
        <item x="220"/>
        <item x="255"/>
        <item x="178"/>
        <item x="224"/>
        <item x="164"/>
        <item x="135"/>
        <item x="87"/>
        <item x="137"/>
        <item x="44"/>
        <item x="139"/>
        <item x="5"/>
        <item x="184"/>
        <item x="261"/>
        <item x="201"/>
        <item x="51"/>
        <item x="126"/>
        <item x="100"/>
        <item x="152"/>
        <item x="70"/>
        <item x="125"/>
        <item x="143"/>
        <item x="124"/>
        <item x="193"/>
        <item x="150"/>
        <item x="107"/>
        <item x="250"/>
        <item x="168"/>
        <item x="149"/>
        <item x="165"/>
        <item x="207"/>
        <item x="146"/>
        <item x="97"/>
        <item x="66"/>
        <item x="228"/>
        <item x="192"/>
        <item x="1"/>
        <item x="161"/>
        <item x="260"/>
        <item x="71"/>
        <item x="19"/>
        <item x="14"/>
        <item x="142"/>
        <item x="236"/>
        <item x="103"/>
        <item x="210"/>
        <item x="188"/>
        <item x="208"/>
        <item x="50"/>
        <item x="242"/>
        <item x="232"/>
        <item x="8"/>
        <item x="191"/>
        <item x="112"/>
        <item x="145"/>
        <item x="99"/>
        <item x="202"/>
        <item x="117"/>
        <item x="67"/>
        <item x="219"/>
        <item x="95"/>
        <item x="249"/>
        <item x="115"/>
        <item x="245"/>
        <item x="225"/>
        <item x="157"/>
        <item x="166"/>
        <item x="244"/>
        <item x="36"/>
        <item x="198"/>
        <item x="131"/>
        <item x="10"/>
        <item x="196"/>
        <item x="93"/>
        <item t="default"/>
      </items>
    </pivotField>
    <pivotField showAll="0"/>
    <pivotField showAll="0"/>
    <pivotField showAll="0"/>
    <pivotField showAll="0"/>
    <pivotField showAll="0"/>
    <pivotField showAll="0"/>
    <pivotField showAll="0"/>
    <pivotField numFmtId="10"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save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t_type" xr10:uid="{7E5C2397-F27C-4056-8808-0D2E4FB434F7}" sourceName="post_type">
  <pivotTables>
    <pivotTable tabId="6" name="PivotTable3"/>
    <pivotTable tabId="8" name="PivotTable1"/>
    <pivotTable tabId="8" name="PivotTable2"/>
    <pivotTable tabId="8" name="PivotTable3"/>
    <pivotTable tabId="8" name="PivotTable4"/>
    <pivotTable tabId="8" name="PivotTable5"/>
    <pivotTable tabId="9" name="PivotTable6"/>
    <pivotTable tabId="9" name="PivotTable7"/>
    <pivotTable tabId="9" name="PivotTable8"/>
    <pivotTable tabId="9" name="PivotTable1"/>
    <pivotTable tabId="9" name="PivotTable2"/>
    <pivotTable tabId="9" name="PivotTable4"/>
  </pivotTables>
  <data>
    <tabular pivotCacheId="582923307" sortOrder="descending">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post_date" xr10:uid="{D30D23AD-D02B-45C7-B34F-152D14174434}" sourceName="Months (post_date)">
  <pivotTables>
    <pivotTable tabId="6" name="PivotTable3"/>
    <pivotTable tabId="8" name="PivotTable1"/>
    <pivotTable tabId="8" name="PivotTable2"/>
    <pivotTable tabId="8" name="PivotTable3"/>
    <pivotTable tabId="8" name="PivotTable4"/>
    <pivotTable tabId="8" name="PivotTable5"/>
    <pivotTable tabId="9" name="PivotTable6"/>
    <pivotTable tabId="9" name="PivotTable7"/>
    <pivotTable tabId="9" name="PivotTable8"/>
    <pivotTable tabId="9" name="PivotTable1"/>
    <pivotTable tabId="9" name="PivotTable2"/>
    <pivotTable tabId="9" name="PivotTable4"/>
  </pivotTables>
  <data>
    <tabular pivotCacheId="582923307">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t_type" xr10:uid="{99C2776E-3D32-42B7-88F5-2080DAEFF8A6}" cache="Slicer_post_type" caption="post_type" style="SlicerStyleDark6" rowHeight="234950"/>
  <slicer name="Months (post_date)" xr10:uid="{CE19294F-EFBA-49EB-BDA1-7629A5ED6022}" cache="Slicer_Months__post_date" caption="Months (post_date)"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863546-158B-4ED3-818E-E620E80F3360}" name="Table1" displayName="Table1" ref="A1:T501" totalsRowShown="0" headerRowDxfId="23" headerRowBorderDxfId="22" tableBorderDxfId="21" totalsRowBorderDxfId="20">
  <autoFilter ref="A1:T501" xr:uid="{5B863546-158B-4ED3-818E-E620E80F3360}"/>
  <tableColumns count="20">
    <tableColumn id="1" xr3:uid="{202D96E7-5A81-4758-BE87-112378918855}" name="account_id" dataDxfId="19"/>
    <tableColumn id="2" xr3:uid="{8A3A5859-8872-4C27-A02C-ECABFC1FE9D0}" name="username" dataDxfId="18"/>
    <tableColumn id="3" xr3:uid="{B59D813E-69CB-4689-93EF-80DE07F9ACCB}" name="post_id" dataDxfId="17"/>
    <tableColumn id="4" xr3:uid="{8E3D1DE4-7C6B-4BF4-88C4-59BD4BF7DB92}" name="post_type" dataDxfId="16"/>
    <tableColumn id="5" xr3:uid="{DA6FB997-6853-4719-B8CF-91BACF2F91D1}" name="post_date" dataDxfId="15"/>
    <tableColumn id="6" xr3:uid="{BE513D6E-C9C6-4F31-B5A3-439835774EA3}" name="followers_at_post" dataDxfId="14"/>
    <tableColumn id="7" xr3:uid="{5CDBAD4D-237D-41DD-9234-D463B0038D83}" name="following_at_post" dataDxfId="13"/>
    <tableColumn id="8" xr3:uid="{1C735994-716C-46E9-8D2E-2DAABAA0BEE3}" name="likes" dataDxfId="12"/>
    <tableColumn id="9" xr3:uid="{F3B92051-588B-4462-9F70-E9895E46F366}" name="comments" dataDxfId="11"/>
    <tableColumn id="10" xr3:uid="{CED4B4D7-DA41-4F6A-8755-D599F4965864}" name="shares" dataDxfId="10"/>
    <tableColumn id="11" xr3:uid="{3A7AF23E-4301-40EB-8111-B16CCA87E80C}" name="reach" dataDxfId="9"/>
    <tableColumn id="12" xr3:uid="{8E335E24-910D-4058-B691-370A5100B8D9}" name="impressions" dataDxfId="8"/>
    <tableColumn id="13" xr3:uid="{2A4CED90-24DC-4C9E-B52A-0FE6D2A59D24}" name="engagement_rate" dataDxfId="7"/>
    <tableColumn id="14" xr3:uid="{D571B6F6-E662-4479-9B09-717D34F6D632}" name="hashtag_count" dataDxfId="6"/>
    <tableColumn id="15" xr3:uid="{B9561E76-FF3D-4827-A50A-49717A0EEDDE}" name="avg_watch_time_sec" dataDxfId="5"/>
    <tableColumn id="16" xr3:uid="{08D2A98C-5A88-4530-9073-182FFDAC920F}" name="saves" dataDxfId="4"/>
    <tableColumn id="17" xr3:uid="{6C7EBDF4-08ED-4942-BF2F-006382A6114E}" name="profile_visits" dataDxfId="3"/>
    <tableColumn id="18" xr3:uid="{02BDB853-B079-43F1-83F5-3D619657A757}" name="follower_gain" dataDxfId="2"/>
    <tableColumn id="19" xr3:uid="{C2A5954D-866D-48F9-9F62-4C9EC021EC01}" name="posting_hour" dataDxfId="1"/>
    <tableColumn id="20" xr3:uid="{2B4E7A02-4EE3-4002-8D1B-97994294E46D}" name="posting_time_label"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01"/>
  <sheetViews>
    <sheetView zoomScale="79" workbookViewId="0">
      <selection activeCell="T2" sqref="T2"/>
    </sheetView>
  </sheetViews>
  <sheetFormatPr defaultRowHeight="14.4" x14ac:dyDescent="0.3"/>
  <cols>
    <col min="1" max="1" width="12.88671875" bestFit="1" customWidth="1"/>
    <col min="2" max="2" width="12.21875" bestFit="1" customWidth="1"/>
    <col min="3" max="3" width="10" bestFit="1" customWidth="1"/>
    <col min="4" max="5" width="12.21875" bestFit="1" customWidth="1"/>
    <col min="6" max="7" width="19.33203125" bestFit="1" customWidth="1"/>
    <col min="8" max="8" width="7.6640625" bestFit="1" customWidth="1"/>
    <col min="9" max="9" width="12.5546875" bestFit="1" customWidth="1"/>
    <col min="10" max="10" width="9.109375" bestFit="1" customWidth="1"/>
    <col min="11" max="11" width="8.33203125" bestFit="1" customWidth="1"/>
    <col min="12" max="12" width="14" bestFit="1" customWidth="1"/>
    <col min="13" max="13" width="18.88671875" style="10" bestFit="1" customWidth="1"/>
    <col min="14" max="14" width="16.109375" bestFit="1" customWidth="1"/>
    <col min="15" max="15" width="21.5546875" bestFit="1" customWidth="1"/>
    <col min="16" max="16" width="8.33203125" bestFit="1" customWidth="1"/>
    <col min="17" max="17" width="14.77734375" bestFit="1" customWidth="1"/>
    <col min="18" max="18" width="15.6640625" bestFit="1" customWidth="1"/>
    <col min="19" max="19" width="14.88671875" bestFit="1" customWidth="1"/>
    <col min="20" max="20" width="20.88671875" bestFit="1" customWidth="1"/>
  </cols>
  <sheetData>
    <row r="1" spans="1:20" x14ac:dyDescent="0.3">
      <c r="A1" s="13" t="s">
        <v>0</v>
      </c>
      <c r="B1" s="14" t="s">
        <v>1</v>
      </c>
      <c r="C1" s="14" t="s">
        <v>2</v>
      </c>
      <c r="D1" s="14" t="s">
        <v>3</v>
      </c>
      <c r="E1" s="14" t="s">
        <v>4</v>
      </c>
      <c r="F1" s="14" t="s">
        <v>747</v>
      </c>
      <c r="G1" s="14" t="s">
        <v>748</v>
      </c>
      <c r="H1" s="14" t="s">
        <v>5</v>
      </c>
      <c r="I1" s="14" t="s">
        <v>6</v>
      </c>
      <c r="J1" s="14" t="s">
        <v>7</v>
      </c>
      <c r="K1" s="14" t="s">
        <v>8</v>
      </c>
      <c r="L1" s="14" t="s">
        <v>9</v>
      </c>
      <c r="M1" s="15" t="s">
        <v>10</v>
      </c>
      <c r="N1" s="14" t="s">
        <v>11</v>
      </c>
      <c r="O1" s="14" t="s">
        <v>12</v>
      </c>
      <c r="P1" s="14" t="s">
        <v>749</v>
      </c>
      <c r="Q1" s="14" t="s">
        <v>750</v>
      </c>
      <c r="R1" s="14" t="s">
        <v>751</v>
      </c>
      <c r="S1" s="16" t="s">
        <v>752</v>
      </c>
      <c r="T1" s="14" t="s">
        <v>781</v>
      </c>
    </row>
    <row r="2" spans="1:20" x14ac:dyDescent="0.3">
      <c r="A2" s="3">
        <v>3215</v>
      </c>
      <c r="B2" s="1" t="s">
        <v>13</v>
      </c>
      <c r="C2" s="1" t="s">
        <v>14</v>
      </c>
      <c r="D2" s="1" t="s">
        <v>15</v>
      </c>
      <c r="E2" s="11">
        <v>45328</v>
      </c>
      <c r="F2" s="1">
        <v>489201</v>
      </c>
      <c r="G2" s="1">
        <v>1505</v>
      </c>
      <c r="H2" s="1">
        <v>7391</v>
      </c>
      <c r="I2" s="1">
        <v>513</v>
      </c>
      <c r="J2" s="1">
        <v>581</v>
      </c>
      <c r="K2" s="1">
        <v>24558</v>
      </c>
      <c r="L2" s="1">
        <v>17012</v>
      </c>
      <c r="M2" s="2">
        <v>1.7344608862205922E-2</v>
      </c>
      <c r="N2" s="1">
        <v>20</v>
      </c>
      <c r="O2" s="1">
        <v>0</v>
      </c>
      <c r="P2" s="1">
        <v>311</v>
      </c>
      <c r="Q2" s="1">
        <v>4492</v>
      </c>
      <c r="R2" s="1">
        <v>0</v>
      </c>
      <c r="S2" s="4">
        <v>22</v>
      </c>
      <c r="T2" s="20" t="s">
        <v>784</v>
      </c>
    </row>
    <row r="3" spans="1:20" x14ac:dyDescent="0.3">
      <c r="A3" s="3">
        <v>1893</v>
      </c>
      <c r="B3" s="1" t="s">
        <v>16</v>
      </c>
      <c r="C3" s="1" t="s">
        <v>17</v>
      </c>
      <c r="D3" s="1" t="s">
        <v>15</v>
      </c>
      <c r="E3" s="11">
        <v>45608</v>
      </c>
      <c r="F3" s="1">
        <v>494382</v>
      </c>
      <c r="G3" s="1">
        <v>1972</v>
      </c>
      <c r="H3" s="1">
        <v>24892</v>
      </c>
      <c r="I3" s="1">
        <v>2452</v>
      </c>
      <c r="J3" s="1">
        <v>4971</v>
      </c>
      <c r="K3" s="1">
        <v>87212</v>
      </c>
      <c r="L3" s="1">
        <v>101703</v>
      </c>
      <c r="M3" s="2">
        <v>6.5364434789292492E-2</v>
      </c>
      <c r="N3" s="1">
        <v>19</v>
      </c>
      <c r="O3" s="1">
        <v>0</v>
      </c>
      <c r="P3" s="1">
        <v>2200</v>
      </c>
      <c r="Q3" s="1">
        <v>16247</v>
      </c>
      <c r="R3" s="1">
        <v>269</v>
      </c>
      <c r="S3" s="4">
        <v>18</v>
      </c>
      <c r="T3" s="1" t="s">
        <v>793</v>
      </c>
    </row>
    <row r="4" spans="1:20" x14ac:dyDescent="0.3">
      <c r="A4" s="3">
        <v>9106</v>
      </c>
      <c r="B4" s="1" t="s">
        <v>18</v>
      </c>
      <c r="C4" s="1" t="s">
        <v>19</v>
      </c>
      <c r="D4" s="1" t="s">
        <v>20</v>
      </c>
      <c r="E4" s="11">
        <v>45356</v>
      </c>
      <c r="F4" s="1">
        <v>190532</v>
      </c>
      <c r="G4" s="1">
        <v>1360</v>
      </c>
      <c r="H4" s="1">
        <v>24250</v>
      </c>
      <c r="I4" s="1">
        <v>2997</v>
      </c>
      <c r="J4" s="1">
        <v>4905</v>
      </c>
      <c r="K4" s="1">
        <v>63025</v>
      </c>
      <c r="L4" s="1">
        <v>96658</v>
      </c>
      <c r="M4" s="2">
        <v>0.16874855667289484</v>
      </c>
      <c r="N4" s="1">
        <v>14</v>
      </c>
      <c r="O4" s="1">
        <v>0</v>
      </c>
      <c r="P4" s="1">
        <v>2106</v>
      </c>
      <c r="Q4" s="1">
        <v>7576</v>
      </c>
      <c r="R4" s="1">
        <v>291</v>
      </c>
      <c r="S4" s="4">
        <v>6</v>
      </c>
      <c r="T4" s="1" t="s">
        <v>792</v>
      </c>
    </row>
    <row r="5" spans="1:20" x14ac:dyDescent="0.3">
      <c r="A5" s="3">
        <v>1602</v>
      </c>
      <c r="B5" s="1" t="s">
        <v>21</v>
      </c>
      <c r="C5" s="1" t="s">
        <v>22</v>
      </c>
      <c r="D5" s="1" t="s">
        <v>15</v>
      </c>
      <c r="E5" s="11">
        <v>45374</v>
      </c>
      <c r="F5" s="1">
        <v>451571</v>
      </c>
      <c r="G5" s="1">
        <v>1431</v>
      </c>
      <c r="H5" s="1">
        <v>58318</v>
      </c>
      <c r="I5" s="1">
        <v>11162</v>
      </c>
      <c r="J5" s="1">
        <v>13717</v>
      </c>
      <c r="K5" s="1">
        <v>228311</v>
      </c>
      <c r="L5" s="1">
        <v>216870</v>
      </c>
      <c r="M5" s="2">
        <v>0.18423902332080669</v>
      </c>
      <c r="N5" s="1">
        <v>8</v>
      </c>
      <c r="O5" s="1">
        <v>0</v>
      </c>
      <c r="P5" s="1">
        <v>2655</v>
      </c>
      <c r="Q5" s="1">
        <v>33736</v>
      </c>
      <c r="R5" s="1">
        <v>0</v>
      </c>
      <c r="S5" s="4">
        <v>6</v>
      </c>
      <c r="T5" s="1" t="s">
        <v>792</v>
      </c>
    </row>
    <row r="6" spans="1:20" x14ac:dyDescent="0.3">
      <c r="A6" s="3">
        <v>5467</v>
      </c>
      <c r="B6" s="1" t="s">
        <v>23</v>
      </c>
      <c r="C6" s="1" t="s">
        <v>24</v>
      </c>
      <c r="D6" s="1" t="s">
        <v>15</v>
      </c>
      <c r="E6" s="11">
        <v>45309</v>
      </c>
      <c r="F6" s="1">
        <v>253764</v>
      </c>
      <c r="G6" s="1">
        <v>513</v>
      </c>
      <c r="H6" s="1">
        <v>24194</v>
      </c>
      <c r="I6" s="1">
        <v>453</v>
      </c>
      <c r="J6" s="1">
        <v>4745</v>
      </c>
      <c r="K6" s="1">
        <v>46807</v>
      </c>
      <c r="L6" s="1">
        <v>83865</v>
      </c>
      <c r="M6" s="2">
        <v>0.11582415157390331</v>
      </c>
      <c r="N6" s="1">
        <v>22</v>
      </c>
      <c r="O6" s="1">
        <v>0</v>
      </c>
      <c r="P6" s="1">
        <v>1650</v>
      </c>
      <c r="Q6" s="1">
        <v>3395</v>
      </c>
      <c r="R6" s="1">
        <v>0</v>
      </c>
      <c r="S6" s="4">
        <v>9</v>
      </c>
      <c r="T6" s="1" t="s">
        <v>798</v>
      </c>
    </row>
    <row r="7" spans="1:20" x14ac:dyDescent="0.3">
      <c r="A7" s="3">
        <v>5030</v>
      </c>
      <c r="B7" s="1" t="s">
        <v>25</v>
      </c>
      <c r="C7" s="1" t="s">
        <v>26</v>
      </c>
      <c r="D7" s="1" t="s">
        <v>15</v>
      </c>
      <c r="E7" s="11">
        <v>45572</v>
      </c>
      <c r="F7" s="1">
        <v>186798</v>
      </c>
      <c r="G7" s="1">
        <v>224</v>
      </c>
      <c r="H7" s="1">
        <v>7036</v>
      </c>
      <c r="I7" s="1">
        <v>609</v>
      </c>
      <c r="J7" s="1">
        <v>1746</v>
      </c>
      <c r="K7" s="1">
        <v>13439</v>
      </c>
      <c r="L7" s="1">
        <v>56061</v>
      </c>
      <c r="M7" s="2">
        <v>5.0273557532735894E-2</v>
      </c>
      <c r="N7" s="1">
        <v>25</v>
      </c>
      <c r="O7" s="1">
        <v>0</v>
      </c>
      <c r="P7" s="1">
        <v>419</v>
      </c>
      <c r="Q7" s="1">
        <v>1598</v>
      </c>
      <c r="R7" s="1">
        <v>0</v>
      </c>
      <c r="S7" s="4">
        <v>7</v>
      </c>
      <c r="T7" s="1" t="s">
        <v>794</v>
      </c>
    </row>
    <row r="8" spans="1:20" x14ac:dyDescent="0.3">
      <c r="A8" s="3">
        <v>5782</v>
      </c>
      <c r="B8" s="1" t="s">
        <v>27</v>
      </c>
      <c r="C8" s="1" t="s">
        <v>28</v>
      </c>
      <c r="D8" s="1" t="s">
        <v>20</v>
      </c>
      <c r="E8" s="11">
        <v>45432</v>
      </c>
      <c r="F8" s="1">
        <v>286915</v>
      </c>
      <c r="G8" s="1">
        <v>1621</v>
      </c>
      <c r="H8" s="1">
        <v>6872</v>
      </c>
      <c r="I8" s="1">
        <v>787</v>
      </c>
      <c r="J8" s="1">
        <v>898</v>
      </c>
      <c r="K8" s="1">
        <v>14373</v>
      </c>
      <c r="L8" s="1">
        <v>36948</v>
      </c>
      <c r="M8" s="2">
        <v>2.9824163950995939E-2</v>
      </c>
      <c r="N8" s="1">
        <v>8</v>
      </c>
      <c r="O8" s="1">
        <v>0</v>
      </c>
      <c r="P8" s="1">
        <v>613</v>
      </c>
      <c r="Q8" s="1">
        <v>1360</v>
      </c>
      <c r="R8" s="1">
        <v>32</v>
      </c>
      <c r="S8" s="4">
        <v>20</v>
      </c>
      <c r="T8" s="1" t="s">
        <v>797</v>
      </c>
    </row>
    <row r="9" spans="1:20" x14ac:dyDescent="0.3">
      <c r="A9" s="3">
        <v>2020</v>
      </c>
      <c r="B9" s="1" t="s">
        <v>29</v>
      </c>
      <c r="C9" s="1" t="s">
        <v>30</v>
      </c>
      <c r="D9" s="1" t="s">
        <v>15</v>
      </c>
      <c r="E9" s="11">
        <v>45462</v>
      </c>
      <c r="F9" s="1">
        <v>132944</v>
      </c>
      <c r="G9" s="1">
        <v>1293</v>
      </c>
      <c r="H9" s="1">
        <v>8501</v>
      </c>
      <c r="I9" s="1">
        <v>469</v>
      </c>
      <c r="J9" s="1">
        <v>1674</v>
      </c>
      <c r="K9" s="1">
        <v>23170</v>
      </c>
      <c r="L9" s="1">
        <v>39036</v>
      </c>
      <c r="M9" s="2">
        <v>8.0063786255867131E-2</v>
      </c>
      <c r="N9" s="1">
        <v>4</v>
      </c>
      <c r="O9" s="1">
        <v>0</v>
      </c>
      <c r="P9" s="1">
        <v>320</v>
      </c>
      <c r="Q9" s="1">
        <v>4401</v>
      </c>
      <c r="R9" s="1">
        <v>244</v>
      </c>
      <c r="S9" s="4">
        <v>15</v>
      </c>
      <c r="T9" s="1" t="s">
        <v>789</v>
      </c>
    </row>
    <row r="10" spans="1:20" x14ac:dyDescent="0.3">
      <c r="A10" s="3">
        <v>5389</v>
      </c>
      <c r="B10" s="1" t="s">
        <v>31</v>
      </c>
      <c r="C10" s="1" t="s">
        <v>32</v>
      </c>
      <c r="D10" s="1" t="s">
        <v>20</v>
      </c>
      <c r="E10" s="11">
        <v>45627</v>
      </c>
      <c r="F10" s="1">
        <v>449996</v>
      </c>
      <c r="G10" s="1">
        <v>1095</v>
      </c>
      <c r="H10" s="1">
        <v>55254</v>
      </c>
      <c r="I10" s="1">
        <v>10580</v>
      </c>
      <c r="J10" s="1">
        <v>5348</v>
      </c>
      <c r="K10" s="1">
        <v>81713</v>
      </c>
      <c r="L10" s="1">
        <v>166466</v>
      </c>
      <c r="M10" s="2">
        <v>0.15818362829891822</v>
      </c>
      <c r="N10" s="1">
        <v>10</v>
      </c>
      <c r="O10" s="1">
        <v>0</v>
      </c>
      <c r="P10" s="1">
        <v>2036</v>
      </c>
      <c r="Q10" s="1">
        <v>6477</v>
      </c>
      <c r="R10" s="1">
        <v>449</v>
      </c>
      <c r="S10" s="4">
        <v>21</v>
      </c>
      <c r="T10" s="1" t="s">
        <v>799</v>
      </c>
    </row>
    <row r="11" spans="1:20" x14ac:dyDescent="0.3">
      <c r="A11" s="3">
        <v>4300</v>
      </c>
      <c r="B11" s="1" t="s">
        <v>33</v>
      </c>
      <c r="C11" s="1" t="s">
        <v>34</v>
      </c>
      <c r="D11" s="1" t="s">
        <v>20</v>
      </c>
      <c r="E11" s="11">
        <v>45533</v>
      </c>
      <c r="F11" s="1">
        <v>332031</v>
      </c>
      <c r="G11" s="1">
        <v>888</v>
      </c>
      <c r="H11" s="1">
        <v>24419</v>
      </c>
      <c r="I11" s="1">
        <v>327</v>
      </c>
      <c r="J11" s="1">
        <v>4055</v>
      </c>
      <c r="K11" s="1">
        <v>32674</v>
      </c>
      <c r="L11" s="1">
        <v>64297</v>
      </c>
      <c r="M11" s="2">
        <v>8.6741900605666333E-2</v>
      </c>
      <c r="N11" s="1">
        <v>11</v>
      </c>
      <c r="O11" s="1">
        <v>0</v>
      </c>
      <c r="P11" s="1">
        <v>1942</v>
      </c>
      <c r="Q11" s="1">
        <v>2993</v>
      </c>
      <c r="R11" s="1">
        <v>0</v>
      </c>
      <c r="S11" s="4">
        <v>16</v>
      </c>
      <c r="T11" s="1" t="s">
        <v>790</v>
      </c>
    </row>
    <row r="12" spans="1:20" x14ac:dyDescent="0.3">
      <c r="A12" s="3">
        <v>6556</v>
      </c>
      <c r="B12" s="1" t="s">
        <v>35</v>
      </c>
      <c r="C12" s="1" t="s">
        <v>36</v>
      </c>
      <c r="D12" s="1" t="s">
        <v>20</v>
      </c>
      <c r="E12" s="11">
        <v>45653</v>
      </c>
      <c r="F12" s="1">
        <v>196479</v>
      </c>
      <c r="G12" s="1">
        <v>660</v>
      </c>
      <c r="H12" s="1">
        <v>16288</v>
      </c>
      <c r="I12" s="1">
        <v>1426</v>
      </c>
      <c r="J12" s="1">
        <v>2674</v>
      </c>
      <c r="K12" s="1">
        <v>45900</v>
      </c>
      <c r="L12" s="1">
        <v>118982</v>
      </c>
      <c r="M12" s="2">
        <v>0.10376681477409799</v>
      </c>
      <c r="N12" s="1">
        <v>24</v>
      </c>
      <c r="O12" s="1">
        <v>0</v>
      </c>
      <c r="P12" s="1">
        <v>1053</v>
      </c>
      <c r="Q12" s="1">
        <v>2427</v>
      </c>
      <c r="R12" s="1">
        <v>59</v>
      </c>
      <c r="S12" s="4">
        <v>6</v>
      </c>
      <c r="T12" s="1" t="s">
        <v>792</v>
      </c>
    </row>
    <row r="13" spans="1:20" x14ac:dyDescent="0.3">
      <c r="A13" s="3">
        <v>2395</v>
      </c>
      <c r="B13" s="1" t="s">
        <v>27</v>
      </c>
      <c r="C13" s="1" t="s">
        <v>37</v>
      </c>
      <c r="D13" s="1" t="s">
        <v>38</v>
      </c>
      <c r="E13" s="11">
        <v>45349</v>
      </c>
      <c r="F13" s="1">
        <v>52912</v>
      </c>
      <c r="G13" s="1">
        <v>1049</v>
      </c>
      <c r="H13" s="1">
        <v>7362</v>
      </c>
      <c r="I13" s="1">
        <v>909</v>
      </c>
      <c r="J13" s="1">
        <v>895</v>
      </c>
      <c r="K13" s="1">
        <v>34166</v>
      </c>
      <c r="L13" s="1">
        <v>32057</v>
      </c>
      <c r="M13" s="2">
        <v>0.17323102509827637</v>
      </c>
      <c r="N13" s="1">
        <v>13</v>
      </c>
      <c r="O13" s="1">
        <v>21</v>
      </c>
      <c r="P13" s="1">
        <v>450</v>
      </c>
      <c r="Q13" s="1">
        <v>3507</v>
      </c>
      <c r="R13" s="1">
        <v>125</v>
      </c>
      <c r="S13" s="4">
        <v>12</v>
      </c>
      <c r="T13" s="1" t="s">
        <v>787</v>
      </c>
    </row>
    <row r="14" spans="1:20" x14ac:dyDescent="0.3">
      <c r="A14" s="3">
        <v>4089</v>
      </c>
      <c r="B14" s="1" t="s">
        <v>39</v>
      </c>
      <c r="C14" s="1" t="s">
        <v>40</v>
      </c>
      <c r="D14" s="1" t="s">
        <v>38</v>
      </c>
      <c r="E14" s="11">
        <v>45476</v>
      </c>
      <c r="F14" s="1">
        <v>259130</v>
      </c>
      <c r="G14" s="1">
        <v>1200</v>
      </c>
      <c r="H14" s="1">
        <v>1144</v>
      </c>
      <c r="I14" s="1">
        <v>83</v>
      </c>
      <c r="J14" s="1">
        <v>53</v>
      </c>
      <c r="K14" s="1">
        <v>1700</v>
      </c>
      <c r="L14" s="1">
        <v>4771</v>
      </c>
      <c r="M14" s="2">
        <v>4.9396056033651067E-3</v>
      </c>
      <c r="N14" s="1">
        <v>12</v>
      </c>
      <c r="O14" s="1">
        <v>35</v>
      </c>
      <c r="P14" s="1">
        <v>34</v>
      </c>
      <c r="Q14" s="1">
        <v>175</v>
      </c>
      <c r="R14" s="1">
        <v>10</v>
      </c>
      <c r="S14" s="4">
        <v>18</v>
      </c>
      <c r="T14" s="1" t="s">
        <v>793</v>
      </c>
    </row>
    <row r="15" spans="1:20" x14ac:dyDescent="0.3">
      <c r="A15" s="3">
        <v>2696</v>
      </c>
      <c r="B15" s="1" t="s">
        <v>41</v>
      </c>
      <c r="C15" s="1" t="s">
        <v>42</v>
      </c>
      <c r="D15" s="1" t="s">
        <v>20</v>
      </c>
      <c r="E15" s="11">
        <v>45372</v>
      </c>
      <c r="F15" s="1">
        <v>47466</v>
      </c>
      <c r="G15" s="1">
        <v>669</v>
      </c>
      <c r="H15" s="1">
        <v>1275</v>
      </c>
      <c r="I15" s="1">
        <v>145</v>
      </c>
      <c r="J15" s="1">
        <v>202</v>
      </c>
      <c r="K15" s="1">
        <v>1446</v>
      </c>
      <c r="L15" s="1">
        <v>4561</v>
      </c>
      <c r="M15" s="2">
        <v>3.4171828256014829E-2</v>
      </c>
      <c r="N15" s="1">
        <v>13</v>
      </c>
      <c r="O15" s="1">
        <v>0</v>
      </c>
      <c r="P15" s="1">
        <v>119</v>
      </c>
      <c r="Q15" s="1">
        <v>123</v>
      </c>
      <c r="R15" s="1">
        <v>0</v>
      </c>
      <c r="S15" s="4">
        <v>14</v>
      </c>
      <c r="T15" s="1" t="s">
        <v>788</v>
      </c>
    </row>
    <row r="16" spans="1:20" x14ac:dyDescent="0.3">
      <c r="A16" s="3">
        <v>6718</v>
      </c>
      <c r="B16" s="1" t="s">
        <v>43</v>
      </c>
      <c r="C16" s="1" t="s">
        <v>44</v>
      </c>
      <c r="D16" s="1" t="s">
        <v>38</v>
      </c>
      <c r="E16" s="11">
        <v>45615</v>
      </c>
      <c r="F16" s="1">
        <v>219738</v>
      </c>
      <c r="G16" s="1">
        <v>139</v>
      </c>
      <c r="H16" s="1">
        <v>27215</v>
      </c>
      <c r="I16" s="1">
        <v>5417</v>
      </c>
      <c r="J16" s="1">
        <v>6375</v>
      </c>
      <c r="K16" s="1">
        <v>117910</v>
      </c>
      <c r="L16" s="1">
        <v>120408</v>
      </c>
      <c r="M16" s="2">
        <v>0.17751595081415139</v>
      </c>
      <c r="N16" s="1">
        <v>20</v>
      </c>
      <c r="O16" s="1">
        <v>5</v>
      </c>
      <c r="P16" s="1">
        <v>1881</v>
      </c>
      <c r="Q16" s="1">
        <v>20905</v>
      </c>
      <c r="R16" s="1">
        <v>1372</v>
      </c>
      <c r="S16" s="4">
        <v>20</v>
      </c>
      <c r="T16" s="1" t="s">
        <v>797</v>
      </c>
    </row>
    <row r="17" spans="1:20" x14ac:dyDescent="0.3">
      <c r="A17" s="3">
        <v>3857</v>
      </c>
      <c r="B17" s="1" t="s">
        <v>45</v>
      </c>
      <c r="C17" s="1" t="s">
        <v>46</v>
      </c>
      <c r="D17" s="1" t="s">
        <v>38</v>
      </c>
      <c r="E17" s="11">
        <v>45296</v>
      </c>
      <c r="F17" s="1">
        <v>479012</v>
      </c>
      <c r="G17" s="1">
        <v>1237</v>
      </c>
      <c r="H17" s="1">
        <v>55860</v>
      </c>
      <c r="I17" s="1">
        <v>7155</v>
      </c>
      <c r="J17" s="1">
        <v>14569</v>
      </c>
      <c r="K17" s="1">
        <v>251484</v>
      </c>
      <c r="L17" s="1">
        <v>222132</v>
      </c>
      <c r="M17" s="2">
        <v>0.16196671482134059</v>
      </c>
      <c r="N17" s="1">
        <v>10</v>
      </c>
      <c r="O17" s="1">
        <v>45</v>
      </c>
      <c r="P17" s="1">
        <v>1496</v>
      </c>
      <c r="Q17" s="1">
        <v>37677</v>
      </c>
      <c r="R17" s="1">
        <v>0</v>
      </c>
      <c r="S17" s="4">
        <v>14</v>
      </c>
      <c r="T17" s="1" t="s">
        <v>788</v>
      </c>
    </row>
    <row r="18" spans="1:20" x14ac:dyDescent="0.3">
      <c r="A18" s="3">
        <v>5075</v>
      </c>
      <c r="B18" s="1" t="s">
        <v>47</v>
      </c>
      <c r="C18" s="1" t="s">
        <v>48</v>
      </c>
      <c r="D18" s="1" t="s">
        <v>15</v>
      </c>
      <c r="E18" s="11">
        <v>45377</v>
      </c>
      <c r="F18" s="1">
        <v>479072</v>
      </c>
      <c r="G18" s="1">
        <v>1892</v>
      </c>
      <c r="H18" s="1">
        <v>2529</v>
      </c>
      <c r="I18" s="1">
        <v>106</v>
      </c>
      <c r="J18" s="1">
        <v>652</v>
      </c>
      <c r="K18" s="1">
        <v>11886</v>
      </c>
      <c r="L18" s="1">
        <v>11200</v>
      </c>
      <c r="M18" s="2">
        <v>6.8611816177944025E-3</v>
      </c>
      <c r="N18" s="1">
        <v>16</v>
      </c>
      <c r="O18" s="1">
        <v>0</v>
      </c>
      <c r="P18" s="1">
        <v>178</v>
      </c>
      <c r="Q18" s="1">
        <v>1770</v>
      </c>
      <c r="R18" s="1">
        <v>29</v>
      </c>
      <c r="S18" s="4">
        <v>16</v>
      </c>
      <c r="T18" s="1" t="s">
        <v>790</v>
      </c>
    </row>
    <row r="19" spans="1:20" x14ac:dyDescent="0.3">
      <c r="A19" s="3">
        <v>9158</v>
      </c>
      <c r="B19" s="1" t="s">
        <v>49</v>
      </c>
      <c r="C19" s="1" t="s">
        <v>50</v>
      </c>
      <c r="D19" s="1" t="s">
        <v>38</v>
      </c>
      <c r="E19" s="11">
        <v>45437</v>
      </c>
      <c r="F19" s="1">
        <v>54789</v>
      </c>
      <c r="G19" s="1">
        <v>1245</v>
      </c>
      <c r="H19" s="1">
        <v>843</v>
      </c>
      <c r="I19" s="1">
        <v>12</v>
      </c>
      <c r="J19" s="1">
        <v>173</v>
      </c>
      <c r="K19" s="1">
        <v>3665</v>
      </c>
      <c r="L19" s="1">
        <v>4118</v>
      </c>
      <c r="M19" s="2">
        <v>1.8762890361203891E-2</v>
      </c>
      <c r="N19" s="1">
        <v>15</v>
      </c>
      <c r="O19" s="1">
        <v>19</v>
      </c>
      <c r="P19" s="1">
        <v>25</v>
      </c>
      <c r="Q19" s="1">
        <v>570</v>
      </c>
      <c r="R19" s="1">
        <v>27</v>
      </c>
      <c r="S19" s="4">
        <v>8</v>
      </c>
      <c r="T19" s="1" t="s">
        <v>796</v>
      </c>
    </row>
    <row r="20" spans="1:20" x14ac:dyDescent="0.3">
      <c r="A20" s="3">
        <v>2940</v>
      </c>
      <c r="B20" s="1" t="s">
        <v>51</v>
      </c>
      <c r="C20" s="1" t="s">
        <v>52</v>
      </c>
      <c r="D20" s="1" t="s">
        <v>38</v>
      </c>
      <c r="E20" s="11">
        <v>45326</v>
      </c>
      <c r="F20" s="1">
        <v>156076</v>
      </c>
      <c r="G20" s="1">
        <v>226</v>
      </c>
      <c r="H20" s="1">
        <v>18689</v>
      </c>
      <c r="I20" s="1">
        <v>3464</v>
      </c>
      <c r="J20" s="1">
        <v>2461</v>
      </c>
      <c r="K20" s="1">
        <v>25170</v>
      </c>
      <c r="L20" s="1">
        <v>129252</v>
      </c>
      <c r="M20" s="2">
        <v>0.15770522053358621</v>
      </c>
      <c r="N20" s="1">
        <v>17</v>
      </c>
      <c r="O20" s="1">
        <v>19</v>
      </c>
      <c r="P20" s="1">
        <v>1682</v>
      </c>
      <c r="Q20" s="1">
        <v>1329</v>
      </c>
      <c r="R20" s="1">
        <v>44</v>
      </c>
      <c r="S20" s="4">
        <v>12</v>
      </c>
      <c r="T20" s="1" t="s">
        <v>787</v>
      </c>
    </row>
    <row r="21" spans="1:20" x14ac:dyDescent="0.3">
      <c r="A21" s="3">
        <v>7171</v>
      </c>
      <c r="B21" s="1" t="s">
        <v>53</v>
      </c>
      <c r="C21" s="1" t="s">
        <v>54</v>
      </c>
      <c r="D21" s="1" t="s">
        <v>20</v>
      </c>
      <c r="E21" s="11">
        <v>45614</v>
      </c>
      <c r="F21" s="1">
        <v>209055</v>
      </c>
      <c r="G21" s="1">
        <v>732</v>
      </c>
      <c r="H21" s="1">
        <v>29087</v>
      </c>
      <c r="I21" s="1">
        <v>4752</v>
      </c>
      <c r="J21" s="1">
        <v>7983</v>
      </c>
      <c r="K21" s="1">
        <v>144853</v>
      </c>
      <c r="L21" s="1">
        <v>129020</v>
      </c>
      <c r="M21" s="2">
        <v>0.20005261773217575</v>
      </c>
      <c r="N21" s="1">
        <v>3</v>
      </c>
      <c r="O21" s="1">
        <v>0</v>
      </c>
      <c r="P21" s="1">
        <v>2207</v>
      </c>
      <c r="Q21" s="1">
        <v>11712</v>
      </c>
      <c r="R21" s="1">
        <v>1111</v>
      </c>
      <c r="S21" s="4">
        <v>10</v>
      </c>
      <c r="T21" s="1" t="s">
        <v>783</v>
      </c>
    </row>
    <row r="22" spans="1:20" x14ac:dyDescent="0.3">
      <c r="A22" s="3">
        <v>6741</v>
      </c>
      <c r="B22" s="1" t="s">
        <v>55</v>
      </c>
      <c r="C22" s="1" t="s">
        <v>56</v>
      </c>
      <c r="D22" s="1" t="s">
        <v>15</v>
      </c>
      <c r="E22" s="11">
        <v>45490</v>
      </c>
      <c r="F22" s="1">
        <v>67166</v>
      </c>
      <c r="G22" s="1">
        <v>1650</v>
      </c>
      <c r="H22" s="1">
        <v>9487</v>
      </c>
      <c r="I22" s="1">
        <v>481</v>
      </c>
      <c r="J22" s="1">
        <v>2261</v>
      </c>
      <c r="K22" s="1">
        <v>45804</v>
      </c>
      <c r="L22" s="1">
        <v>20879</v>
      </c>
      <c r="M22" s="2">
        <v>0.18207128606735551</v>
      </c>
      <c r="N22" s="1">
        <v>18</v>
      </c>
      <c r="O22" s="1">
        <v>0</v>
      </c>
      <c r="P22" s="1">
        <v>285</v>
      </c>
      <c r="Q22" s="1">
        <v>3676</v>
      </c>
      <c r="R22" s="1">
        <v>56</v>
      </c>
      <c r="S22" s="4">
        <v>14</v>
      </c>
      <c r="T22" s="1" t="s">
        <v>788</v>
      </c>
    </row>
    <row r="23" spans="1:20" x14ac:dyDescent="0.3">
      <c r="A23" s="3">
        <v>6564</v>
      </c>
      <c r="B23" s="1" t="s">
        <v>57</v>
      </c>
      <c r="C23" s="1" t="s">
        <v>58</v>
      </c>
      <c r="D23" s="1" t="s">
        <v>20</v>
      </c>
      <c r="E23" s="11">
        <v>45424</v>
      </c>
      <c r="F23" s="1">
        <v>174979</v>
      </c>
      <c r="G23" s="1">
        <v>391</v>
      </c>
      <c r="H23" s="1">
        <v>25964</v>
      </c>
      <c r="I23" s="1">
        <v>4699</v>
      </c>
      <c r="J23" s="1">
        <v>4249</v>
      </c>
      <c r="K23" s="1">
        <v>37968</v>
      </c>
      <c r="L23" s="1">
        <v>74138</v>
      </c>
      <c r="M23" s="2">
        <v>0.19952108538738936</v>
      </c>
      <c r="N23" s="1">
        <v>7</v>
      </c>
      <c r="O23" s="1">
        <v>0</v>
      </c>
      <c r="P23" s="1">
        <v>694</v>
      </c>
      <c r="Q23" s="1">
        <v>3767</v>
      </c>
      <c r="R23" s="1">
        <v>113</v>
      </c>
      <c r="S23" s="4">
        <v>6</v>
      </c>
      <c r="T23" s="1" t="s">
        <v>792</v>
      </c>
    </row>
    <row r="24" spans="1:20" x14ac:dyDescent="0.3">
      <c r="A24" s="3">
        <v>1699</v>
      </c>
      <c r="B24" s="1" t="s">
        <v>59</v>
      </c>
      <c r="C24" s="1" t="s">
        <v>60</v>
      </c>
      <c r="D24" s="1" t="s">
        <v>38</v>
      </c>
      <c r="E24" s="11">
        <v>45492</v>
      </c>
      <c r="F24" s="1">
        <v>363539</v>
      </c>
      <c r="G24" s="1">
        <v>1729</v>
      </c>
      <c r="H24" s="1">
        <v>5653</v>
      </c>
      <c r="I24" s="1">
        <v>469</v>
      </c>
      <c r="J24" s="1">
        <v>1193</v>
      </c>
      <c r="K24" s="1">
        <v>7011</v>
      </c>
      <c r="L24" s="1">
        <v>31365</v>
      </c>
      <c r="M24" s="2">
        <v>2.0121637568458955E-2</v>
      </c>
      <c r="N24" s="1">
        <v>13</v>
      </c>
      <c r="O24" s="1">
        <v>40</v>
      </c>
      <c r="P24" s="1">
        <v>420</v>
      </c>
      <c r="Q24" s="1">
        <v>1089</v>
      </c>
      <c r="R24" s="1">
        <v>0</v>
      </c>
      <c r="S24" s="4">
        <v>7</v>
      </c>
      <c r="T24" s="1" t="s">
        <v>794</v>
      </c>
    </row>
    <row r="25" spans="1:20" x14ac:dyDescent="0.3">
      <c r="A25" s="3">
        <v>1220</v>
      </c>
      <c r="B25" s="1" t="s">
        <v>61</v>
      </c>
      <c r="C25" s="1" t="s">
        <v>62</v>
      </c>
      <c r="D25" s="1" t="s">
        <v>15</v>
      </c>
      <c r="E25" s="11">
        <v>45359</v>
      </c>
      <c r="F25" s="1">
        <v>256433</v>
      </c>
      <c r="G25" s="1">
        <v>1048</v>
      </c>
      <c r="H25" s="1">
        <v>15469</v>
      </c>
      <c r="I25" s="1">
        <v>1200</v>
      </c>
      <c r="J25" s="1">
        <v>2634</v>
      </c>
      <c r="K25" s="1">
        <v>41439</v>
      </c>
      <c r="L25" s="1">
        <v>96045</v>
      </c>
      <c r="M25" s="2">
        <v>7.5275023105450548E-2</v>
      </c>
      <c r="N25" s="1">
        <v>3</v>
      </c>
      <c r="O25" s="1">
        <v>0</v>
      </c>
      <c r="P25" s="1">
        <v>879</v>
      </c>
      <c r="Q25" s="1">
        <v>5529</v>
      </c>
      <c r="R25" s="1">
        <v>0</v>
      </c>
      <c r="S25" s="4">
        <v>23</v>
      </c>
      <c r="T25" s="1" t="s">
        <v>786</v>
      </c>
    </row>
    <row r="26" spans="1:20" x14ac:dyDescent="0.3">
      <c r="A26" s="3">
        <v>1670</v>
      </c>
      <c r="B26" s="1" t="s">
        <v>63</v>
      </c>
      <c r="C26" s="1" t="s">
        <v>64</v>
      </c>
      <c r="D26" s="1" t="s">
        <v>20</v>
      </c>
      <c r="E26" s="11">
        <v>45310</v>
      </c>
      <c r="F26" s="1">
        <v>77470</v>
      </c>
      <c r="G26" s="1">
        <v>995</v>
      </c>
      <c r="H26" s="1">
        <v>5293</v>
      </c>
      <c r="I26" s="1">
        <v>248</v>
      </c>
      <c r="J26" s="1">
        <v>1337</v>
      </c>
      <c r="K26" s="1">
        <v>5476</v>
      </c>
      <c r="L26" s="1">
        <v>26146</v>
      </c>
      <c r="M26" s="2">
        <v>8.8782754614689555E-2</v>
      </c>
      <c r="N26" s="1">
        <v>17</v>
      </c>
      <c r="O26" s="1">
        <v>0</v>
      </c>
      <c r="P26" s="1">
        <v>237</v>
      </c>
      <c r="Q26" s="1">
        <v>636</v>
      </c>
      <c r="R26" s="1">
        <v>59</v>
      </c>
      <c r="S26" s="4">
        <v>16</v>
      </c>
      <c r="T26" s="1" t="s">
        <v>790</v>
      </c>
    </row>
    <row r="27" spans="1:20" x14ac:dyDescent="0.3">
      <c r="A27" s="3">
        <v>2107</v>
      </c>
      <c r="B27" s="1" t="s">
        <v>65</v>
      </c>
      <c r="C27" s="1" t="s">
        <v>66</v>
      </c>
      <c r="D27" s="1" t="s">
        <v>20</v>
      </c>
      <c r="E27" s="11">
        <v>45413</v>
      </c>
      <c r="F27" s="1">
        <v>107368</v>
      </c>
      <c r="G27" s="1">
        <v>1680</v>
      </c>
      <c r="H27" s="1">
        <v>7911</v>
      </c>
      <c r="I27" s="1">
        <v>1523</v>
      </c>
      <c r="J27" s="1">
        <v>1073</v>
      </c>
      <c r="K27" s="1">
        <v>33301</v>
      </c>
      <c r="L27" s="1">
        <v>28410</v>
      </c>
      <c r="M27" s="2">
        <v>9.7859697489009759E-2</v>
      </c>
      <c r="N27" s="1">
        <v>13</v>
      </c>
      <c r="O27" s="1">
        <v>0</v>
      </c>
      <c r="P27" s="1">
        <v>324</v>
      </c>
      <c r="Q27" s="1">
        <v>6489</v>
      </c>
      <c r="R27" s="1">
        <v>163</v>
      </c>
      <c r="S27" s="4">
        <v>12</v>
      </c>
      <c r="T27" s="1" t="s">
        <v>787</v>
      </c>
    </row>
    <row r="28" spans="1:20" x14ac:dyDescent="0.3">
      <c r="A28" s="3">
        <v>5509</v>
      </c>
      <c r="B28" s="1" t="s">
        <v>67</v>
      </c>
      <c r="C28" s="1" t="s">
        <v>68</v>
      </c>
      <c r="D28" s="1" t="s">
        <v>15</v>
      </c>
      <c r="E28" s="11">
        <v>45391</v>
      </c>
      <c r="F28" s="1">
        <v>395670</v>
      </c>
      <c r="G28" s="1">
        <v>1485</v>
      </c>
      <c r="H28" s="1">
        <v>16503</v>
      </c>
      <c r="I28" s="1">
        <v>57</v>
      </c>
      <c r="J28" s="1">
        <v>1555</v>
      </c>
      <c r="K28" s="1">
        <v>77593</v>
      </c>
      <c r="L28" s="1">
        <v>103810</v>
      </c>
      <c r="M28" s="2">
        <v>4.5783102080016173E-2</v>
      </c>
      <c r="N28" s="1">
        <v>17</v>
      </c>
      <c r="O28" s="1">
        <v>0</v>
      </c>
      <c r="P28" s="1">
        <v>864</v>
      </c>
      <c r="Q28" s="1">
        <v>12688</v>
      </c>
      <c r="R28" s="1">
        <v>0</v>
      </c>
      <c r="S28" s="4">
        <v>9</v>
      </c>
      <c r="T28" s="1" t="s">
        <v>798</v>
      </c>
    </row>
    <row r="29" spans="1:20" x14ac:dyDescent="0.3">
      <c r="A29" s="3">
        <v>2406</v>
      </c>
      <c r="B29" s="1" t="s">
        <v>69</v>
      </c>
      <c r="C29" s="1" t="s">
        <v>70</v>
      </c>
      <c r="D29" s="1" t="s">
        <v>15</v>
      </c>
      <c r="E29" s="11">
        <v>45491</v>
      </c>
      <c r="F29" s="1">
        <v>168038</v>
      </c>
      <c r="G29" s="1">
        <v>358</v>
      </c>
      <c r="H29" s="1">
        <v>22689</v>
      </c>
      <c r="I29" s="1">
        <v>2588</v>
      </c>
      <c r="J29" s="1">
        <v>4425</v>
      </c>
      <c r="K29" s="1">
        <v>66007</v>
      </c>
      <c r="L29" s="1">
        <v>83568</v>
      </c>
      <c r="M29" s="2">
        <v>0.17675763815327486</v>
      </c>
      <c r="N29" s="1">
        <v>16</v>
      </c>
      <c r="O29" s="1">
        <v>0</v>
      </c>
      <c r="P29" s="1">
        <v>1637</v>
      </c>
      <c r="Q29" s="1">
        <v>13098</v>
      </c>
      <c r="R29" s="1">
        <v>796</v>
      </c>
      <c r="S29" s="4">
        <v>9</v>
      </c>
      <c r="T29" s="1" t="s">
        <v>798</v>
      </c>
    </row>
    <row r="30" spans="1:20" x14ac:dyDescent="0.3">
      <c r="A30" s="3">
        <v>7386</v>
      </c>
      <c r="B30" s="1" t="s">
        <v>71</v>
      </c>
      <c r="C30" s="1" t="s">
        <v>72</v>
      </c>
      <c r="D30" s="1" t="s">
        <v>20</v>
      </c>
      <c r="E30" s="11">
        <v>45463</v>
      </c>
      <c r="F30" s="1">
        <v>310148</v>
      </c>
      <c r="G30" s="1">
        <v>1432</v>
      </c>
      <c r="H30" s="1">
        <v>8999</v>
      </c>
      <c r="I30" s="1">
        <v>892</v>
      </c>
      <c r="J30" s="1">
        <v>1977</v>
      </c>
      <c r="K30" s="1">
        <v>13071</v>
      </c>
      <c r="L30" s="1">
        <v>71625</v>
      </c>
      <c r="M30" s="2">
        <v>3.8265602228613436E-2</v>
      </c>
      <c r="N30" s="1">
        <v>8</v>
      </c>
      <c r="O30" s="1">
        <v>0</v>
      </c>
      <c r="P30" s="1">
        <v>751</v>
      </c>
      <c r="Q30" s="1">
        <v>2509</v>
      </c>
      <c r="R30" s="1">
        <v>211</v>
      </c>
      <c r="S30" s="4">
        <v>12</v>
      </c>
      <c r="T30" s="1" t="s">
        <v>787</v>
      </c>
    </row>
    <row r="31" spans="1:20" x14ac:dyDescent="0.3">
      <c r="A31" s="3">
        <v>9945</v>
      </c>
      <c r="B31" s="1" t="s">
        <v>73</v>
      </c>
      <c r="C31" s="1" t="s">
        <v>74</v>
      </c>
      <c r="D31" s="1" t="s">
        <v>38</v>
      </c>
      <c r="E31" s="11">
        <v>45518</v>
      </c>
      <c r="F31" s="1">
        <v>282965</v>
      </c>
      <c r="G31" s="1">
        <v>324</v>
      </c>
      <c r="H31" s="1">
        <v>24346</v>
      </c>
      <c r="I31" s="1">
        <v>685</v>
      </c>
      <c r="J31" s="1">
        <v>4519</v>
      </c>
      <c r="K31" s="1">
        <v>110082</v>
      </c>
      <c r="L31" s="1">
        <v>191063</v>
      </c>
      <c r="M31" s="2">
        <v>0.10442987648649127</v>
      </c>
      <c r="N31" s="1">
        <v>16</v>
      </c>
      <c r="O31" s="1">
        <v>3</v>
      </c>
      <c r="P31" s="1">
        <v>956</v>
      </c>
      <c r="Q31" s="1">
        <v>20034</v>
      </c>
      <c r="R31" s="1">
        <v>0</v>
      </c>
      <c r="S31" s="4">
        <v>13</v>
      </c>
      <c r="T31" s="1" t="s">
        <v>782</v>
      </c>
    </row>
    <row r="32" spans="1:20" x14ac:dyDescent="0.3">
      <c r="A32" s="3">
        <v>8786</v>
      </c>
      <c r="B32" s="1" t="s">
        <v>75</v>
      </c>
      <c r="C32" s="1" t="s">
        <v>76</v>
      </c>
      <c r="D32" s="1" t="s">
        <v>38</v>
      </c>
      <c r="E32" s="11">
        <v>45355</v>
      </c>
      <c r="F32" s="1">
        <v>365930</v>
      </c>
      <c r="G32" s="1">
        <v>1511</v>
      </c>
      <c r="H32" s="1">
        <v>44374</v>
      </c>
      <c r="I32" s="1">
        <v>110</v>
      </c>
      <c r="J32" s="1">
        <v>6218</v>
      </c>
      <c r="K32" s="1">
        <v>84633</v>
      </c>
      <c r="L32" s="1">
        <v>220948</v>
      </c>
      <c r="M32" s="2">
        <v>0.1385565545322876</v>
      </c>
      <c r="N32" s="1">
        <v>3</v>
      </c>
      <c r="O32" s="1">
        <v>37</v>
      </c>
      <c r="P32" s="1">
        <v>2705</v>
      </c>
      <c r="Q32" s="1">
        <v>14088</v>
      </c>
      <c r="R32" s="1">
        <v>0</v>
      </c>
      <c r="S32" s="4">
        <v>17</v>
      </c>
      <c r="T32" s="1" t="s">
        <v>791</v>
      </c>
    </row>
    <row r="33" spans="1:20" x14ac:dyDescent="0.3">
      <c r="A33" s="3">
        <v>7414</v>
      </c>
      <c r="B33" s="1" t="s">
        <v>57</v>
      </c>
      <c r="C33" s="1" t="s">
        <v>77</v>
      </c>
      <c r="D33" s="1" t="s">
        <v>20</v>
      </c>
      <c r="E33" s="11">
        <v>45347</v>
      </c>
      <c r="F33" s="1">
        <v>291667</v>
      </c>
      <c r="G33" s="1">
        <v>1333</v>
      </c>
      <c r="H33" s="1">
        <v>9062</v>
      </c>
      <c r="I33" s="1">
        <v>1235</v>
      </c>
      <c r="J33" s="1">
        <v>2294</v>
      </c>
      <c r="K33" s="1">
        <v>16832</v>
      </c>
      <c r="L33" s="1">
        <v>29277</v>
      </c>
      <c r="M33" s="2">
        <v>4.3169093521035977E-2</v>
      </c>
      <c r="N33" s="1">
        <v>8</v>
      </c>
      <c r="O33" s="1">
        <v>0</v>
      </c>
      <c r="P33" s="1">
        <v>595</v>
      </c>
      <c r="Q33" s="1">
        <v>3301</v>
      </c>
      <c r="R33" s="1">
        <v>185</v>
      </c>
      <c r="S33" s="4">
        <v>6</v>
      </c>
      <c r="T33" s="1" t="s">
        <v>792</v>
      </c>
    </row>
    <row r="34" spans="1:20" x14ac:dyDescent="0.3">
      <c r="A34" s="3">
        <v>5619</v>
      </c>
      <c r="B34" s="1" t="s">
        <v>78</v>
      </c>
      <c r="C34" s="1" t="s">
        <v>79</v>
      </c>
      <c r="D34" s="1" t="s">
        <v>20</v>
      </c>
      <c r="E34" s="11">
        <v>45524</v>
      </c>
      <c r="F34" s="1">
        <v>49042</v>
      </c>
      <c r="G34" s="1">
        <v>457</v>
      </c>
      <c r="H34" s="1">
        <v>4533</v>
      </c>
      <c r="I34" s="1">
        <v>845</v>
      </c>
      <c r="J34" s="1">
        <v>730</v>
      </c>
      <c r="K34" s="1">
        <v>17525</v>
      </c>
      <c r="L34" s="1">
        <v>18340</v>
      </c>
      <c r="M34" s="2">
        <v>0.12454630724684963</v>
      </c>
      <c r="N34" s="1">
        <v>12</v>
      </c>
      <c r="O34" s="1">
        <v>0</v>
      </c>
      <c r="P34" s="1">
        <v>91</v>
      </c>
      <c r="Q34" s="1">
        <v>1710</v>
      </c>
      <c r="R34" s="1">
        <v>117</v>
      </c>
      <c r="S34" s="4">
        <v>12</v>
      </c>
      <c r="T34" s="1" t="s">
        <v>787</v>
      </c>
    </row>
    <row r="35" spans="1:20" x14ac:dyDescent="0.3">
      <c r="A35" s="3">
        <v>1994</v>
      </c>
      <c r="B35" s="1" t="s">
        <v>80</v>
      </c>
      <c r="C35" s="1" t="s">
        <v>81</v>
      </c>
      <c r="D35" s="1" t="s">
        <v>15</v>
      </c>
      <c r="E35" s="11">
        <v>45393</v>
      </c>
      <c r="F35" s="1">
        <v>216539</v>
      </c>
      <c r="G35" s="1">
        <v>1568</v>
      </c>
      <c r="H35" s="1">
        <v>21736</v>
      </c>
      <c r="I35" s="1">
        <v>4223</v>
      </c>
      <c r="J35" s="1">
        <v>4947</v>
      </c>
      <c r="K35" s="1">
        <v>51307</v>
      </c>
      <c r="L35" s="1">
        <v>82711</v>
      </c>
      <c r="M35" s="2">
        <v>0.14272717616687988</v>
      </c>
      <c r="N35" s="1">
        <v>13</v>
      </c>
      <c r="O35" s="1">
        <v>0</v>
      </c>
      <c r="P35" s="1">
        <v>2077</v>
      </c>
      <c r="Q35" s="1">
        <v>5215</v>
      </c>
      <c r="R35" s="1">
        <v>368</v>
      </c>
      <c r="S35" s="4">
        <v>13</v>
      </c>
      <c r="T35" s="1" t="s">
        <v>782</v>
      </c>
    </row>
    <row r="36" spans="1:20" x14ac:dyDescent="0.3">
      <c r="A36" s="3">
        <v>6380</v>
      </c>
      <c r="B36" s="1" t="s">
        <v>53</v>
      </c>
      <c r="C36" s="1" t="s">
        <v>82</v>
      </c>
      <c r="D36" s="1" t="s">
        <v>38</v>
      </c>
      <c r="E36" s="11">
        <v>45302</v>
      </c>
      <c r="F36" s="1">
        <v>488313</v>
      </c>
      <c r="G36" s="1">
        <v>936</v>
      </c>
      <c r="H36" s="1">
        <v>28906</v>
      </c>
      <c r="I36" s="1">
        <v>1515</v>
      </c>
      <c r="J36" s="1">
        <v>8209</v>
      </c>
      <c r="K36" s="1">
        <v>99917</v>
      </c>
      <c r="L36" s="1">
        <v>158433</v>
      </c>
      <c r="M36" s="2">
        <v>7.9109096010141031E-2</v>
      </c>
      <c r="N36" s="1">
        <v>12</v>
      </c>
      <c r="O36" s="1">
        <v>38</v>
      </c>
      <c r="P36" s="1">
        <v>981</v>
      </c>
      <c r="Q36" s="1">
        <v>11658</v>
      </c>
      <c r="R36" s="1">
        <v>846</v>
      </c>
      <c r="S36" s="4">
        <v>15</v>
      </c>
      <c r="T36" s="1" t="s">
        <v>789</v>
      </c>
    </row>
    <row r="37" spans="1:20" x14ac:dyDescent="0.3">
      <c r="A37" s="3">
        <v>1806</v>
      </c>
      <c r="B37" s="1" t="s">
        <v>83</v>
      </c>
      <c r="C37" s="1" t="s">
        <v>84</v>
      </c>
      <c r="D37" s="1" t="s">
        <v>15</v>
      </c>
      <c r="E37" s="11">
        <v>45292</v>
      </c>
      <c r="F37" s="1">
        <v>474263</v>
      </c>
      <c r="G37" s="1">
        <v>769</v>
      </c>
      <c r="H37" s="1">
        <v>19152</v>
      </c>
      <c r="I37" s="1">
        <v>316</v>
      </c>
      <c r="J37" s="1">
        <v>4291</v>
      </c>
      <c r="K37" s="1">
        <v>50236</v>
      </c>
      <c r="L37" s="1">
        <v>61145</v>
      </c>
      <c r="M37" s="2">
        <v>5.0096676316727214E-2</v>
      </c>
      <c r="N37" s="1">
        <v>11</v>
      </c>
      <c r="O37" s="1">
        <v>0</v>
      </c>
      <c r="P37" s="1">
        <v>1600</v>
      </c>
      <c r="Q37" s="1">
        <v>8299</v>
      </c>
      <c r="R37" s="1">
        <v>651</v>
      </c>
      <c r="S37" s="4">
        <v>22</v>
      </c>
      <c r="T37" s="1" t="s">
        <v>784</v>
      </c>
    </row>
    <row r="38" spans="1:20" x14ac:dyDescent="0.3">
      <c r="A38" s="3">
        <v>4234</v>
      </c>
      <c r="B38" s="1" t="s">
        <v>85</v>
      </c>
      <c r="C38" s="1" t="s">
        <v>86</v>
      </c>
      <c r="D38" s="1" t="s">
        <v>38</v>
      </c>
      <c r="E38" s="11">
        <v>45650</v>
      </c>
      <c r="F38" s="1">
        <v>201666</v>
      </c>
      <c r="G38" s="1">
        <v>1913</v>
      </c>
      <c r="H38" s="1">
        <v>10375</v>
      </c>
      <c r="I38" s="1">
        <v>1892</v>
      </c>
      <c r="J38" s="1">
        <v>1418</v>
      </c>
      <c r="K38" s="1">
        <v>27598</v>
      </c>
      <c r="L38" s="1">
        <v>79864</v>
      </c>
      <c r="M38" s="2">
        <v>6.7859728461912266E-2</v>
      </c>
      <c r="N38" s="1">
        <v>21</v>
      </c>
      <c r="O38" s="1">
        <v>30</v>
      </c>
      <c r="P38" s="1">
        <v>311</v>
      </c>
      <c r="Q38" s="1">
        <v>2287</v>
      </c>
      <c r="R38" s="1">
        <v>18</v>
      </c>
      <c r="S38" s="4">
        <v>18</v>
      </c>
      <c r="T38" s="1" t="s">
        <v>793</v>
      </c>
    </row>
    <row r="39" spans="1:20" x14ac:dyDescent="0.3">
      <c r="A39" s="3">
        <v>2985</v>
      </c>
      <c r="B39" s="1" t="s">
        <v>87</v>
      </c>
      <c r="C39" s="1" t="s">
        <v>88</v>
      </c>
      <c r="D39" s="1" t="s">
        <v>20</v>
      </c>
      <c r="E39" s="11">
        <v>45450</v>
      </c>
      <c r="F39" s="1">
        <v>422987</v>
      </c>
      <c r="G39" s="1">
        <v>448</v>
      </c>
      <c r="H39" s="1">
        <v>44781</v>
      </c>
      <c r="I39" s="1">
        <v>7552</v>
      </c>
      <c r="J39" s="1">
        <v>1367</v>
      </c>
      <c r="K39" s="1">
        <v>217304</v>
      </c>
      <c r="L39" s="1">
        <v>218862</v>
      </c>
      <c r="M39" s="2">
        <v>0.12695425627737969</v>
      </c>
      <c r="N39" s="1">
        <v>24</v>
      </c>
      <c r="O39" s="1">
        <v>0</v>
      </c>
      <c r="P39" s="1">
        <v>2174</v>
      </c>
      <c r="Q39" s="1">
        <v>14617</v>
      </c>
      <c r="R39" s="1">
        <v>0</v>
      </c>
      <c r="S39" s="4">
        <v>22</v>
      </c>
      <c r="T39" s="1" t="s">
        <v>784</v>
      </c>
    </row>
    <row r="40" spans="1:20" x14ac:dyDescent="0.3">
      <c r="A40" s="3">
        <v>7403</v>
      </c>
      <c r="B40" s="1" t="s">
        <v>89</v>
      </c>
      <c r="C40" s="1" t="s">
        <v>90</v>
      </c>
      <c r="D40" s="1" t="s">
        <v>38</v>
      </c>
      <c r="E40" s="11">
        <v>45303</v>
      </c>
      <c r="F40" s="1">
        <v>227249</v>
      </c>
      <c r="G40" s="1">
        <v>1305</v>
      </c>
      <c r="H40" s="1">
        <v>5520</v>
      </c>
      <c r="I40" s="1">
        <v>1011</v>
      </c>
      <c r="J40" s="1">
        <v>18</v>
      </c>
      <c r="K40" s="1">
        <v>14650</v>
      </c>
      <c r="L40" s="1">
        <v>18068</v>
      </c>
      <c r="M40" s="2">
        <v>2.881860866274439E-2</v>
      </c>
      <c r="N40" s="1">
        <v>24</v>
      </c>
      <c r="O40" s="1">
        <v>4</v>
      </c>
      <c r="P40" s="1">
        <v>165</v>
      </c>
      <c r="Q40" s="1">
        <v>2302</v>
      </c>
      <c r="R40" s="1">
        <v>69</v>
      </c>
      <c r="S40" s="4">
        <v>16</v>
      </c>
      <c r="T40" s="1" t="s">
        <v>790</v>
      </c>
    </row>
    <row r="41" spans="1:20" x14ac:dyDescent="0.3">
      <c r="A41" s="3">
        <v>6510</v>
      </c>
      <c r="B41" s="1" t="s">
        <v>91</v>
      </c>
      <c r="C41" s="1" t="s">
        <v>92</v>
      </c>
      <c r="D41" s="1" t="s">
        <v>38</v>
      </c>
      <c r="E41" s="11">
        <v>45455</v>
      </c>
      <c r="F41" s="1">
        <v>137591</v>
      </c>
      <c r="G41" s="1">
        <v>1668</v>
      </c>
      <c r="H41" s="1">
        <v>7308</v>
      </c>
      <c r="I41" s="1">
        <v>203</v>
      </c>
      <c r="J41" s="1">
        <v>829</v>
      </c>
      <c r="K41" s="1">
        <v>11062</v>
      </c>
      <c r="L41" s="1">
        <v>44600</v>
      </c>
      <c r="M41" s="2">
        <v>6.0614429722874313E-2</v>
      </c>
      <c r="N41" s="1">
        <v>18</v>
      </c>
      <c r="O41" s="1">
        <v>29</v>
      </c>
      <c r="P41" s="1">
        <v>620</v>
      </c>
      <c r="Q41" s="1">
        <v>2082</v>
      </c>
      <c r="R41" s="1">
        <v>72</v>
      </c>
      <c r="S41" s="4">
        <v>9</v>
      </c>
      <c r="T41" s="1" t="s">
        <v>798</v>
      </c>
    </row>
    <row r="42" spans="1:20" x14ac:dyDescent="0.3">
      <c r="A42" s="3">
        <v>5240</v>
      </c>
      <c r="B42" s="1" t="s">
        <v>93</v>
      </c>
      <c r="C42" s="1" t="s">
        <v>94</v>
      </c>
      <c r="D42" s="1" t="s">
        <v>20</v>
      </c>
      <c r="E42" s="11">
        <v>45292</v>
      </c>
      <c r="F42" s="1">
        <v>225536</v>
      </c>
      <c r="G42" s="1">
        <v>582</v>
      </c>
      <c r="H42" s="1">
        <v>24715</v>
      </c>
      <c r="I42" s="1">
        <v>492</v>
      </c>
      <c r="J42" s="1">
        <v>1810</v>
      </c>
      <c r="K42" s="1">
        <v>36693</v>
      </c>
      <c r="L42" s="1">
        <v>100530</v>
      </c>
      <c r="M42" s="2">
        <v>0.11979018870601589</v>
      </c>
      <c r="N42" s="1">
        <v>7</v>
      </c>
      <c r="O42" s="1">
        <v>0</v>
      </c>
      <c r="P42" s="1">
        <v>2190</v>
      </c>
      <c r="Q42" s="1">
        <v>5994</v>
      </c>
      <c r="R42" s="1">
        <v>0</v>
      </c>
      <c r="S42" s="4">
        <v>17</v>
      </c>
      <c r="T42" s="1" t="s">
        <v>791</v>
      </c>
    </row>
    <row r="43" spans="1:20" x14ac:dyDescent="0.3">
      <c r="A43" s="3">
        <v>3391</v>
      </c>
      <c r="B43" s="1" t="s">
        <v>95</v>
      </c>
      <c r="C43" s="1" t="s">
        <v>96</v>
      </c>
      <c r="D43" s="1" t="s">
        <v>38</v>
      </c>
      <c r="E43" s="11">
        <v>45408</v>
      </c>
      <c r="F43" s="1">
        <v>268114</v>
      </c>
      <c r="G43" s="1">
        <v>1786</v>
      </c>
      <c r="H43" s="1">
        <v>34613</v>
      </c>
      <c r="I43" s="1">
        <v>2853</v>
      </c>
      <c r="J43" s="1">
        <v>7313</v>
      </c>
      <c r="K43" s="1">
        <v>101288</v>
      </c>
      <c r="L43" s="1">
        <v>275164</v>
      </c>
      <c r="M43" s="2">
        <v>0.16701477729622474</v>
      </c>
      <c r="N43" s="1">
        <v>20</v>
      </c>
      <c r="O43" s="1">
        <v>30</v>
      </c>
      <c r="P43" s="1">
        <v>712</v>
      </c>
      <c r="Q43" s="1">
        <v>7786</v>
      </c>
      <c r="R43" s="1">
        <v>505</v>
      </c>
      <c r="S43" s="4">
        <v>11</v>
      </c>
      <c r="T43" s="1" t="s">
        <v>785</v>
      </c>
    </row>
    <row r="44" spans="1:20" x14ac:dyDescent="0.3">
      <c r="A44" s="3">
        <v>9290</v>
      </c>
      <c r="B44" s="1" t="s">
        <v>97</v>
      </c>
      <c r="C44" s="1" t="s">
        <v>98</v>
      </c>
      <c r="D44" s="1" t="s">
        <v>20</v>
      </c>
      <c r="E44" s="11">
        <v>45513</v>
      </c>
      <c r="F44" s="1">
        <v>87127</v>
      </c>
      <c r="G44" s="1">
        <v>200</v>
      </c>
      <c r="H44" s="1">
        <v>4551</v>
      </c>
      <c r="I44" s="1">
        <v>772</v>
      </c>
      <c r="J44" s="1">
        <v>698</v>
      </c>
      <c r="K44" s="1">
        <v>13598</v>
      </c>
      <c r="L44" s="1">
        <v>23830</v>
      </c>
      <c r="M44" s="2">
        <v>6.9106017652392479E-2</v>
      </c>
      <c r="N44" s="1">
        <v>19</v>
      </c>
      <c r="O44" s="1">
        <v>0</v>
      </c>
      <c r="P44" s="1">
        <v>241</v>
      </c>
      <c r="Q44" s="1">
        <v>1420</v>
      </c>
      <c r="R44" s="1">
        <v>4</v>
      </c>
      <c r="S44" s="4">
        <v>7</v>
      </c>
      <c r="T44" s="1" t="s">
        <v>794</v>
      </c>
    </row>
    <row r="45" spans="1:20" x14ac:dyDescent="0.3">
      <c r="A45" s="3">
        <v>6313</v>
      </c>
      <c r="B45" s="1" t="s">
        <v>49</v>
      </c>
      <c r="C45" s="1" t="s">
        <v>99</v>
      </c>
      <c r="D45" s="1" t="s">
        <v>20</v>
      </c>
      <c r="E45" s="11">
        <v>45547</v>
      </c>
      <c r="F45" s="1">
        <v>315561</v>
      </c>
      <c r="G45" s="1">
        <v>1760</v>
      </c>
      <c r="H45" s="1">
        <v>26105</v>
      </c>
      <c r="I45" s="1">
        <v>1083</v>
      </c>
      <c r="J45" s="1">
        <v>813</v>
      </c>
      <c r="K45" s="1">
        <v>51677</v>
      </c>
      <c r="L45" s="1">
        <v>58098</v>
      </c>
      <c r="M45" s="2">
        <v>8.8734032405778915E-2</v>
      </c>
      <c r="N45" s="1">
        <v>10</v>
      </c>
      <c r="O45" s="1">
        <v>0</v>
      </c>
      <c r="P45" s="1">
        <v>1840</v>
      </c>
      <c r="Q45" s="1">
        <v>6601</v>
      </c>
      <c r="R45" s="1">
        <v>508</v>
      </c>
      <c r="S45" s="4">
        <v>19</v>
      </c>
      <c r="T45" s="1" t="s">
        <v>795</v>
      </c>
    </row>
    <row r="46" spans="1:20" x14ac:dyDescent="0.3">
      <c r="A46" s="3">
        <v>3347</v>
      </c>
      <c r="B46" s="1" t="s">
        <v>100</v>
      </c>
      <c r="C46" s="1" t="s">
        <v>101</v>
      </c>
      <c r="D46" s="1" t="s">
        <v>38</v>
      </c>
      <c r="E46" s="11">
        <v>45358</v>
      </c>
      <c r="F46" s="1">
        <v>397208</v>
      </c>
      <c r="G46" s="1">
        <v>1082</v>
      </c>
      <c r="H46" s="1">
        <v>20256</v>
      </c>
      <c r="I46" s="1">
        <v>3085</v>
      </c>
      <c r="J46" s="1">
        <v>1643</v>
      </c>
      <c r="K46" s="1">
        <v>43842</v>
      </c>
      <c r="L46" s="1">
        <v>116839</v>
      </c>
      <c r="M46" s="2">
        <v>6.2899035266157782E-2</v>
      </c>
      <c r="N46" s="1">
        <v>9</v>
      </c>
      <c r="O46" s="1">
        <v>3</v>
      </c>
      <c r="P46" s="1">
        <v>683</v>
      </c>
      <c r="Q46" s="1">
        <v>2863</v>
      </c>
      <c r="R46" s="1">
        <v>261</v>
      </c>
      <c r="S46" s="4">
        <v>8</v>
      </c>
      <c r="T46" s="1" t="s">
        <v>796</v>
      </c>
    </row>
    <row r="47" spans="1:20" x14ac:dyDescent="0.3">
      <c r="A47" s="3">
        <v>5799</v>
      </c>
      <c r="B47" s="1" t="s">
        <v>102</v>
      </c>
      <c r="C47" s="1" t="s">
        <v>103</v>
      </c>
      <c r="D47" s="1" t="s">
        <v>38</v>
      </c>
      <c r="E47" s="11">
        <v>45569</v>
      </c>
      <c r="F47" s="1">
        <v>414282</v>
      </c>
      <c r="G47" s="1">
        <v>697</v>
      </c>
      <c r="H47" s="1">
        <v>4278</v>
      </c>
      <c r="I47" s="1">
        <v>470</v>
      </c>
      <c r="J47" s="1">
        <v>388</v>
      </c>
      <c r="K47" s="1">
        <v>18472</v>
      </c>
      <c r="L47" s="1">
        <v>13833</v>
      </c>
      <c r="M47" s="2">
        <v>1.2397352527988181E-2</v>
      </c>
      <c r="N47" s="1">
        <v>11</v>
      </c>
      <c r="O47" s="1">
        <v>15</v>
      </c>
      <c r="P47" s="1">
        <v>310</v>
      </c>
      <c r="Q47" s="1">
        <v>1798</v>
      </c>
      <c r="R47" s="1">
        <v>3</v>
      </c>
      <c r="S47" s="4">
        <v>14</v>
      </c>
      <c r="T47" s="1" t="s">
        <v>788</v>
      </c>
    </row>
    <row r="48" spans="1:20" x14ac:dyDescent="0.3">
      <c r="A48" s="3">
        <v>1927</v>
      </c>
      <c r="B48" s="1" t="s">
        <v>104</v>
      </c>
      <c r="C48" s="1" t="s">
        <v>105</v>
      </c>
      <c r="D48" s="1" t="s">
        <v>20</v>
      </c>
      <c r="E48" s="11">
        <v>45493</v>
      </c>
      <c r="F48" s="1">
        <v>182559</v>
      </c>
      <c r="G48" s="1">
        <v>1295</v>
      </c>
      <c r="H48" s="1">
        <v>16860</v>
      </c>
      <c r="I48" s="1">
        <v>742</v>
      </c>
      <c r="J48" s="1">
        <v>162</v>
      </c>
      <c r="K48" s="1">
        <v>51703</v>
      </c>
      <c r="L48" s="1">
        <v>111830</v>
      </c>
      <c r="M48" s="2">
        <v>9.7305528623623044E-2</v>
      </c>
      <c r="N48" s="1">
        <v>19</v>
      </c>
      <c r="O48" s="1">
        <v>0</v>
      </c>
      <c r="P48" s="1">
        <v>350</v>
      </c>
      <c r="Q48" s="1">
        <v>3482</v>
      </c>
      <c r="R48" s="1">
        <v>64</v>
      </c>
      <c r="S48" s="4">
        <v>20</v>
      </c>
      <c r="T48" s="1" t="s">
        <v>797</v>
      </c>
    </row>
    <row r="49" spans="1:20" x14ac:dyDescent="0.3">
      <c r="A49" s="3">
        <v>3759</v>
      </c>
      <c r="B49" s="1" t="s">
        <v>49</v>
      </c>
      <c r="C49" s="1" t="s">
        <v>106</v>
      </c>
      <c r="D49" s="1" t="s">
        <v>38</v>
      </c>
      <c r="E49" s="11">
        <v>45391</v>
      </c>
      <c r="F49" s="1">
        <v>222954</v>
      </c>
      <c r="G49" s="1">
        <v>1081</v>
      </c>
      <c r="H49" s="1">
        <v>19577</v>
      </c>
      <c r="I49" s="1">
        <v>1742</v>
      </c>
      <c r="J49" s="1">
        <v>948</v>
      </c>
      <c r="K49" s="1">
        <v>51951</v>
      </c>
      <c r="L49" s="1">
        <v>103048</v>
      </c>
      <c r="M49" s="2">
        <v>9.9872619464104709E-2</v>
      </c>
      <c r="N49" s="1">
        <v>14</v>
      </c>
      <c r="O49" s="1">
        <v>33</v>
      </c>
      <c r="P49" s="1">
        <v>1301</v>
      </c>
      <c r="Q49" s="1">
        <v>9159</v>
      </c>
      <c r="R49" s="1">
        <v>441</v>
      </c>
      <c r="S49" s="4">
        <v>10</v>
      </c>
      <c r="T49" s="1" t="s">
        <v>783</v>
      </c>
    </row>
    <row r="50" spans="1:20" x14ac:dyDescent="0.3">
      <c r="A50" s="3">
        <v>5357</v>
      </c>
      <c r="B50" s="1" t="s">
        <v>107</v>
      </c>
      <c r="C50" s="1" t="s">
        <v>108</v>
      </c>
      <c r="D50" s="1" t="s">
        <v>38</v>
      </c>
      <c r="E50" s="11">
        <v>45439</v>
      </c>
      <c r="F50" s="1">
        <v>16634</v>
      </c>
      <c r="G50" s="1">
        <v>452</v>
      </c>
      <c r="H50" s="1">
        <v>749</v>
      </c>
      <c r="I50" s="1">
        <v>69</v>
      </c>
      <c r="J50" s="1">
        <v>133</v>
      </c>
      <c r="K50" s="1">
        <v>1205</v>
      </c>
      <c r="L50" s="1">
        <v>2001</v>
      </c>
      <c r="M50" s="2">
        <v>5.7172057232175062E-2</v>
      </c>
      <c r="N50" s="1">
        <v>8</v>
      </c>
      <c r="O50" s="1">
        <v>18</v>
      </c>
      <c r="P50" s="1">
        <v>39</v>
      </c>
      <c r="Q50" s="1">
        <v>174</v>
      </c>
      <c r="R50" s="1">
        <v>0</v>
      </c>
      <c r="S50" s="4">
        <v>22</v>
      </c>
      <c r="T50" s="1" t="s">
        <v>784</v>
      </c>
    </row>
    <row r="51" spans="1:20" x14ac:dyDescent="0.3">
      <c r="A51" s="3">
        <v>6119</v>
      </c>
      <c r="B51" s="1" t="s">
        <v>109</v>
      </c>
      <c r="C51" s="1" t="s">
        <v>110</v>
      </c>
      <c r="D51" s="1" t="s">
        <v>15</v>
      </c>
      <c r="E51" s="11">
        <v>45310</v>
      </c>
      <c r="F51" s="1">
        <v>91600</v>
      </c>
      <c r="G51" s="1">
        <v>550</v>
      </c>
      <c r="H51" s="1">
        <v>7479</v>
      </c>
      <c r="I51" s="1">
        <v>661</v>
      </c>
      <c r="J51" s="1">
        <v>124</v>
      </c>
      <c r="K51" s="1">
        <v>17409</v>
      </c>
      <c r="L51" s="1">
        <v>27997</v>
      </c>
      <c r="M51" s="2">
        <v>9.0218340611353712E-2</v>
      </c>
      <c r="N51" s="1">
        <v>7</v>
      </c>
      <c r="O51" s="1">
        <v>0</v>
      </c>
      <c r="P51" s="1">
        <v>641</v>
      </c>
      <c r="Q51" s="1">
        <v>2763</v>
      </c>
      <c r="R51" s="1">
        <v>0</v>
      </c>
      <c r="S51" s="4">
        <v>16</v>
      </c>
      <c r="T51" s="1" t="s">
        <v>790</v>
      </c>
    </row>
    <row r="52" spans="1:20" x14ac:dyDescent="0.3">
      <c r="A52" s="3">
        <v>6145</v>
      </c>
      <c r="B52" s="1" t="s">
        <v>111</v>
      </c>
      <c r="C52" s="1" t="s">
        <v>112</v>
      </c>
      <c r="D52" s="1" t="s">
        <v>38</v>
      </c>
      <c r="E52" s="11">
        <v>45482</v>
      </c>
      <c r="F52" s="1">
        <v>473325</v>
      </c>
      <c r="G52" s="1">
        <v>1316</v>
      </c>
      <c r="H52" s="1">
        <v>19773</v>
      </c>
      <c r="I52" s="1">
        <v>421</v>
      </c>
      <c r="J52" s="1">
        <v>256</v>
      </c>
      <c r="K52" s="1">
        <v>52674</v>
      </c>
      <c r="L52" s="1">
        <v>93229</v>
      </c>
      <c r="M52" s="2">
        <v>4.3204986003274708E-2</v>
      </c>
      <c r="N52" s="1">
        <v>5</v>
      </c>
      <c r="O52" s="1">
        <v>18</v>
      </c>
      <c r="P52" s="1">
        <v>447</v>
      </c>
      <c r="Q52" s="1">
        <v>6034</v>
      </c>
      <c r="R52" s="1">
        <v>125</v>
      </c>
      <c r="S52" s="4">
        <v>15</v>
      </c>
      <c r="T52" s="1" t="s">
        <v>789</v>
      </c>
    </row>
    <row r="53" spans="1:20" x14ac:dyDescent="0.3">
      <c r="A53" s="3">
        <v>6216</v>
      </c>
      <c r="B53" s="1" t="s">
        <v>113</v>
      </c>
      <c r="C53" s="1" t="s">
        <v>114</v>
      </c>
      <c r="D53" s="1" t="s">
        <v>15</v>
      </c>
      <c r="E53" s="11">
        <v>45405</v>
      </c>
      <c r="F53" s="1">
        <v>329485</v>
      </c>
      <c r="G53" s="1">
        <v>1114</v>
      </c>
      <c r="H53" s="1">
        <v>34770</v>
      </c>
      <c r="I53" s="1">
        <v>4149</v>
      </c>
      <c r="J53" s="1">
        <v>1916</v>
      </c>
      <c r="K53" s="1">
        <v>144762</v>
      </c>
      <c r="L53" s="1">
        <v>196353</v>
      </c>
      <c r="M53" s="2">
        <v>0.12393583926430642</v>
      </c>
      <c r="N53" s="1">
        <v>23</v>
      </c>
      <c r="O53" s="1">
        <v>0</v>
      </c>
      <c r="P53" s="1">
        <v>785</v>
      </c>
      <c r="Q53" s="1">
        <v>28040</v>
      </c>
      <c r="R53" s="1">
        <v>1984</v>
      </c>
      <c r="S53" s="4">
        <v>14</v>
      </c>
      <c r="T53" s="1" t="s">
        <v>788</v>
      </c>
    </row>
    <row r="54" spans="1:20" x14ac:dyDescent="0.3">
      <c r="A54" s="3">
        <v>1999</v>
      </c>
      <c r="B54" s="1" t="s">
        <v>115</v>
      </c>
      <c r="C54" s="1" t="s">
        <v>116</v>
      </c>
      <c r="D54" s="1" t="s">
        <v>38</v>
      </c>
      <c r="E54" s="11">
        <v>45315</v>
      </c>
      <c r="F54" s="1">
        <v>186405</v>
      </c>
      <c r="G54" s="1">
        <v>749</v>
      </c>
      <c r="H54" s="1">
        <v>139</v>
      </c>
      <c r="I54" s="1">
        <v>22</v>
      </c>
      <c r="J54" s="1">
        <v>26</v>
      </c>
      <c r="K54" s="1">
        <v>292</v>
      </c>
      <c r="L54" s="1">
        <v>741</v>
      </c>
      <c r="M54" s="2">
        <v>1.0031919744642043E-3</v>
      </c>
      <c r="N54" s="1">
        <v>6</v>
      </c>
      <c r="O54" s="1">
        <v>31</v>
      </c>
      <c r="P54" s="1">
        <v>7</v>
      </c>
      <c r="Q54" s="1">
        <v>17</v>
      </c>
      <c r="R54" s="1">
        <v>2</v>
      </c>
      <c r="S54" s="4">
        <v>21</v>
      </c>
      <c r="T54" s="1" t="s">
        <v>799</v>
      </c>
    </row>
    <row r="55" spans="1:20" x14ac:dyDescent="0.3">
      <c r="A55" s="3">
        <v>9854</v>
      </c>
      <c r="B55" s="1" t="s">
        <v>117</v>
      </c>
      <c r="C55" s="1" t="s">
        <v>118</v>
      </c>
      <c r="D55" s="1" t="s">
        <v>20</v>
      </c>
      <c r="E55" s="11">
        <v>45623</v>
      </c>
      <c r="F55" s="1">
        <v>187170</v>
      </c>
      <c r="G55" s="1">
        <v>527</v>
      </c>
      <c r="H55" s="1">
        <v>15287</v>
      </c>
      <c r="I55" s="1">
        <v>2091</v>
      </c>
      <c r="J55" s="1">
        <v>3915</v>
      </c>
      <c r="K55" s="1">
        <v>57194</v>
      </c>
      <c r="L55" s="1">
        <v>59587</v>
      </c>
      <c r="M55" s="2">
        <v>0.11376288935192605</v>
      </c>
      <c r="N55" s="1">
        <v>11</v>
      </c>
      <c r="O55" s="1">
        <v>0</v>
      </c>
      <c r="P55" s="1">
        <v>318</v>
      </c>
      <c r="Q55" s="1">
        <v>3168</v>
      </c>
      <c r="R55" s="1">
        <v>0</v>
      </c>
      <c r="S55" s="4">
        <v>7</v>
      </c>
      <c r="T55" s="1" t="s">
        <v>794</v>
      </c>
    </row>
    <row r="56" spans="1:20" x14ac:dyDescent="0.3">
      <c r="A56" s="3">
        <v>8828</v>
      </c>
      <c r="B56" s="1" t="s">
        <v>119</v>
      </c>
      <c r="C56" s="1" t="s">
        <v>120</v>
      </c>
      <c r="D56" s="1" t="s">
        <v>20</v>
      </c>
      <c r="E56" s="11">
        <v>45576</v>
      </c>
      <c r="F56" s="1">
        <v>268966</v>
      </c>
      <c r="G56" s="1">
        <v>380</v>
      </c>
      <c r="H56" s="1">
        <v>9665</v>
      </c>
      <c r="I56" s="1">
        <v>195</v>
      </c>
      <c r="J56" s="1">
        <v>400</v>
      </c>
      <c r="K56" s="1">
        <v>36941</v>
      </c>
      <c r="L56" s="1">
        <v>33283</v>
      </c>
      <c r="M56" s="2">
        <v>3.8146085378821117E-2</v>
      </c>
      <c r="N56" s="1">
        <v>6</v>
      </c>
      <c r="O56" s="1">
        <v>0</v>
      </c>
      <c r="P56" s="1">
        <v>620</v>
      </c>
      <c r="Q56" s="1">
        <v>3257</v>
      </c>
      <c r="R56" s="1">
        <v>0</v>
      </c>
      <c r="S56" s="4">
        <v>6</v>
      </c>
      <c r="T56" s="1" t="s">
        <v>792</v>
      </c>
    </row>
    <row r="57" spans="1:20" x14ac:dyDescent="0.3">
      <c r="A57" s="3">
        <v>9293</v>
      </c>
      <c r="B57" s="1" t="s">
        <v>121</v>
      </c>
      <c r="C57" s="1" t="s">
        <v>122</v>
      </c>
      <c r="D57" s="1" t="s">
        <v>38</v>
      </c>
      <c r="E57" s="11">
        <v>45347</v>
      </c>
      <c r="F57" s="1">
        <v>398949</v>
      </c>
      <c r="G57" s="1">
        <v>1970</v>
      </c>
      <c r="H57" s="1">
        <v>31695</v>
      </c>
      <c r="I57" s="1">
        <v>326</v>
      </c>
      <c r="J57" s="1">
        <v>8536</v>
      </c>
      <c r="K57" s="1">
        <v>82771</v>
      </c>
      <c r="L57" s="1">
        <v>154865</v>
      </c>
      <c r="M57" s="2">
        <v>0.10165961062692223</v>
      </c>
      <c r="N57" s="1">
        <v>14</v>
      </c>
      <c r="O57" s="1">
        <v>36</v>
      </c>
      <c r="P57" s="1">
        <v>2177</v>
      </c>
      <c r="Q57" s="1">
        <v>11644</v>
      </c>
      <c r="R57" s="1">
        <v>0</v>
      </c>
      <c r="S57" s="4">
        <v>19</v>
      </c>
      <c r="T57" s="1" t="s">
        <v>795</v>
      </c>
    </row>
    <row r="58" spans="1:20" x14ac:dyDescent="0.3">
      <c r="A58" s="3">
        <v>2270</v>
      </c>
      <c r="B58" s="1" t="s">
        <v>102</v>
      </c>
      <c r="C58" s="1" t="s">
        <v>123</v>
      </c>
      <c r="D58" s="1" t="s">
        <v>15</v>
      </c>
      <c r="E58" s="11">
        <v>45503</v>
      </c>
      <c r="F58" s="1">
        <v>482869</v>
      </c>
      <c r="G58" s="1">
        <v>431</v>
      </c>
      <c r="H58" s="1">
        <v>31490</v>
      </c>
      <c r="I58" s="1">
        <v>5176</v>
      </c>
      <c r="J58" s="1">
        <v>1697</v>
      </c>
      <c r="K58" s="1">
        <v>132950</v>
      </c>
      <c r="L58" s="1">
        <v>216471</v>
      </c>
      <c r="M58" s="2">
        <v>7.9448049056783515E-2</v>
      </c>
      <c r="N58" s="1">
        <v>12</v>
      </c>
      <c r="O58" s="1">
        <v>0</v>
      </c>
      <c r="P58" s="1">
        <v>3091</v>
      </c>
      <c r="Q58" s="1">
        <v>20177</v>
      </c>
      <c r="R58" s="1">
        <v>379</v>
      </c>
      <c r="S58" s="4">
        <v>7</v>
      </c>
      <c r="T58" s="1" t="s">
        <v>794</v>
      </c>
    </row>
    <row r="59" spans="1:20" x14ac:dyDescent="0.3">
      <c r="A59" s="3">
        <v>4827</v>
      </c>
      <c r="B59" s="1" t="s">
        <v>124</v>
      </c>
      <c r="C59" s="1" t="s">
        <v>125</v>
      </c>
      <c r="D59" s="1" t="s">
        <v>38</v>
      </c>
      <c r="E59" s="11">
        <v>45309</v>
      </c>
      <c r="F59" s="1">
        <v>304804</v>
      </c>
      <c r="G59" s="1">
        <v>862</v>
      </c>
      <c r="H59" s="1">
        <v>30319</v>
      </c>
      <c r="I59" s="1">
        <v>5114</v>
      </c>
      <c r="J59" s="1">
        <v>1965</v>
      </c>
      <c r="K59" s="1">
        <v>48113</v>
      </c>
      <c r="L59" s="1">
        <v>70904</v>
      </c>
      <c r="M59" s="2">
        <v>0.12269524021994462</v>
      </c>
      <c r="N59" s="1">
        <v>11</v>
      </c>
      <c r="O59" s="1">
        <v>36</v>
      </c>
      <c r="P59" s="1">
        <v>2234</v>
      </c>
      <c r="Q59" s="1">
        <v>3213</v>
      </c>
      <c r="R59" s="1">
        <v>174</v>
      </c>
      <c r="S59" s="4">
        <v>12</v>
      </c>
      <c r="T59" s="1" t="s">
        <v>787</v>
      </c>
    </row>
    <row r="60" spans="1:20" x14ac:dyDescent="0.3">
      <c r="A60" s="3">
        <v>9277</v>
      </c>
      <c r="B60" s="1" t="s">
        <v>71</v>
      </c>
      <c r="C60" s="1" t="s">
        <v>126</v>
      </c>
      <c r="D60" s="1" t="s">
        <v>15</v>
      </c>
      <c r="E60" s="11">
        <v>45530</v>
      </c>
      <c r="F60" s="1">
        <v>253400</v>
      </c>
      <c r="G60" s="1">
        <v>306</v>
      </c>
      <c r="H60" s="1">
        <v>6696</v>
      </c>
      <c r="I60" s="1">
        <v>1160</v>
      </c>
      <c r="J60" s="1">
        <v>1930</v>
      </c>
      <c r="K60" s="1">
        <v>9379</v>
      </c>
      <c r="L60" s="1">
        <v>41015</v>
      </c>
      <c r="M60" s="2">
        <v>3.8618784530386738E-2</v>
      </c>
      <c r="N60" s="1">
        <v>18</v>
      </c>
      <c r="O60" s="1">
        <v>0</v>
      </c>
      <c r="P60" s="1">
        <v>282</v>
      </c>
      <c r="Q60" s="1">
        <v>1485</v>
      </c>
      <c r="R60" s="1">
        <v>5</v>
      </c>
      <c r="S60" s="4">
        <v>11</v>
      </c>
      <c r="T60" s="1" t="s">
        <v>785</v>
      </c>
    </row>
    <row r="61" spans="1:20" x14ac:dyDescent="0.3">
      <c r="A61" s="3">
        <v>6519</v>
      </c>
      <c r="B61" s="1" t="s">
        <v>113</v>
      </c>
      <c r="C61" s="1" t="s">
        <v>127</v>
      </c>
      <c r="D61" s="1" t="s">
        <v>20</v>
      </c>
      <c r="E61" s="11">
        <v>45449</v>
      </c>
      <c r="F61" s="1">
        <v>359725</v>
      </c>
      <c r="G61" s="1">
        <v>1472</v>
      </c>
      <c r="H61" s="1">
        <v>25755</v>
      </c>
      <c r="I61" s="1">
        <v>2665</v>
      </c>
      <c r="J61" s="1">
        <v>2973</v>
      </c>
      <c r="K61" s="1">
        <v>41378</v>
      </c>
      <c r="L61" s="1">
        <v>129721</v>
      </c>
      <c r="M61" s="2">
        <v>8.7269441934811315E-2</v>
      </c>
      <c r="N61" s="1">
        <v>15</v>
      </c>
      <c r="O61" s="1">
        <v>0</v>
      </c>
      <c r="P61" s="1">
        <v>2478</v>
      </c>
      <c r="Q61" s="1">
        <v>5201</v>
      </c>
      <c r="R61" s="1">
        <v>380</v>
      </c>
      <c r="S61" s="4">
        <v>15</v>
      </c>
      <c r="T61" s="1" t="s">
        <v>789</v>
      </c>
    </row>
    <row r="62" spans="1:20" x14ac:dyDescent="0.3">
      <c r="A62" s="3">
        <v>7526</v>
      </c>
      <c r="B62" s="1" t="s">
        <v>128</v>
      </c>
      <c r="C62" s="1" t="s">
        <v>129</v>
      </c>
      <c r="D62" s="1" t="s">
        <v>20</v>
      </c>
      <c r="E62" s="11">
        <v>45436</v>
      </c>
      <c r="F62" s="1">
        <v>171647</v>
      </c>
      <c r="G62" s="1">
        <v>281</v>
      </c>
      <c r="H62" s="1">
        <v>6211</v>
      </c>
      <c r="I62" s="1">
        <v>830</v>
      </c>
      <c r="J62" s="1">
        <v>517</v>
      </c>
      <c r="K62" s="1">
        <v>17703</v>
      </c>
      <c r="L62" s="1">
        <v>46823</v>
      </c>
      <c r="M62" s="2">
        <v>4.4032228934965362E-2</v>
      </c>
      <c r="N62" s="1">
        <v>15</v>
      </c>
      <c r="O62" s="1">
        <v>0</v>
      </c>
      <c r="P62" s="1">
        <v>220</v>
      </c>
      <c r="Q62" s="1">
        <v>1509</v>
      </c>
      <c r="R62" s="1">
        <v>43</v>
      </c>
      <c r="S62" s="4">
        <v>13</v>
      </c>
      <c r="T62" s="1" t="s">
        <v>782</v>
      </c>
    </row>
    <row r="63" spans="1:20" x14ac:dyDescent="0.3">
      <c r="A63" s="3">
        <v>4004</v>
      </c>
      <c r="B63" s="1" t="s">
        <v>130</v>
      </c>
      <c r="C63" s="1" t="s">
        <v>131</v>
      </c>
      <c r="D63" s="1" t="s">
        <v>38</v>
      </c>
      <c r="E63" s="11">
        <v>45324</v>
      </c>
      <c r="F63" s="1">
        <v>483577</v>
      </c>
      <c r="G63" s="1">
        <v>1054</v>
      </c>
      <c r="H63" s="1">
        <v>3128</v>
      </c>
      <c r="I63" s="1">
        <v>385</v>
      </c>
      <c r="J63" s="1">
        <v>502</v>
      </c>
      <c r="K63" s="1">
        <v>10584</v>
      </c>
      <c r="L63" s="1">
        <v>7918</v>
      </c>
      <c r="M63" s="2">
        <v>8.3027108402591518E-3</v>
      </c>
      <c r="N63" s="1">
        <v>14</v>
      </c>
      <c r="O63" s="1">
        <v>4</v>
      </c>
      <c r="P63" s="1">
        <v>73</v>
      </c>
      <c r="Q63" s="1">
        <v>915</v>
      </c>
      <c r="R63" s="1">
        <v>0</v>
      </c>
      <c r="S63" s="4">
        <v>12</v>
      </c>
      <c r="T63" s="1" t="s">
        <v>787</v>
      </c>
    </row>
    <row r="64" spans="1:20" x14ac:dyDescent="0.3">
      <c r="A64" s="3">
        <v>5617</v>
      </c>
      <c r="B64" s="1" t="s">
        <v>132</v>
      </c>
      <c r="C64" s="1" t="s">
        <v>133</v>
      </c>
      <c r="D64" s="1" t="s">
        <v>38</v>
      </c>
      <c r="E64" s="11">
        <v>45502</v>
      </c>
      <c r="F64" s="1">
        <v>91491</v>
      </c>
      <c r="G64" s="1">
        <v>1259</v>
      </c>
      <c r="H64" s="1">
        <v>7229</v>
      </c>
      <c r="I64" s="1">
        <v>684</v>
      </c>
      <c r="J64" s="1">
        <v>729</v>
      </c>
      <c r="K64" s="1">
        <v>22563</v>
      </c>
      <c r="L64" s="1">
        <v>49531</v>
      </c>
      <c r="M64" s="2">
        <v>9.4457378321364943E-2</v>
      </c>
      <c r="N64" s="1">
        <v>23</v>
      </c>
      <c r="O64" s="1">
        <v>41</v>
      </c>
      <c r="P64" s="1">
        <v>362</v>
      </c>
      <c r="Q64" s="1">
        <v>1794</v>
      </c>
      <c r="R64" s="1">
        <v>0</v>
      </c>
      <c r="S64" s="4">
        <v>21</v>
      </c>
      <c r="T64" s="1" t="s">
        <v>799</v>
      </c>
    </row>
    <row r="65" spans="1:20" x14ac:dyDescent="0.3">
      <c r="A65" s="3">
        <v>1061</v>
      </c>
      <c r="B65" s="1" t="s">
        <v>134</v>
      </c>
      <c r="C65" s="1" t="s">
        <v>135</v>
      </c>
      <c r="D65" s="1" t="s">
        <v>15</v>
      </c>
      <c r="E65" s="11">
        <v>45438</v>
      </c>
      <c r="F65" s="1">
        <v>414424</v>
      </c>
      <c r="G65" s="1">
        <v>1120</v>
      </c>
      <c r="H65" s="1">
        <v>34407</v>
      </c>
      <c r="I65" s="1">
        <v>5083</v>
      </c>
      <c r="J65" s="1">
        <v>5737</v>
      </c>
      <c r="K65" s="1">
        <v>140685</v>
      </c>
      <c r="L65" s="1">
        <v>189050</v>
      </c>
      <c r="M65" s="2">
        <v>0.10913219311622879</v>
      </c>
      <c r="N65" s="1">
        <v>23</v>
      </c>
      <c r="O65" s="1">
        <v>0</v>
      </c>
      <c r="P65" s="1">
        <v>2478</v>
      </c>
      <c r="Q65" s="1">
        <v>10593</v>
      </c>
      <c r="R65" s="1">
        <v>0</v>
      </c>
      <c r="S65" s="4">
        <v>16</v>
      </c>
      <c r="T65" s="1" t="s">
        <v>790</v>
      </c>
    </row>
    <row r="66" spans="1:20" x14ac:dyDescent="0.3">
      <c r="A66" s="3">
        <v>5804</v>
      </c>
      <c r="B66" s="1" t="s">
        <v>107</v>
      </c>
      <c r="C66" s="1" t="s">
        <v>136</v>
      </c>
      <c r="D66" s="1" t="s">
        <v>38</v>
      </c>
      <c r="E66" s="11">
        <v>45508</v>
      </c>
      <c r="F66" s="1">
        <v>147715</v>
      </c>
      <c r="G66" s="1">
        <v>707</v>
      </c>
      <c r="H66" s="1">
        <v>8592</v>
      </c>
      <c r="I66" s="1">
        <v>383</v>
      </c>
      <c r="J66" s="1">
        <v>959</v>
      </c>
      <c r="K66" s="1">
        <v>40140</v>
      </c>
      <c r="L66" s="1">
        <v>60298</v>
      </c>
      <c r="M66" s="2">
        <v>6.7251125478116638E-2</v>
      </c>
      <c r="N66" s="1">
        <v>6</v>
      </c>
      <c r="O66" s="1">
        <v>32</v>
      </c>
      <c r="P66" s="1">
        <v>200</v>
      </c>
      <c r="Q66" s="1">
        <v>6327</v>
      </c>
      <c r="R66" s="1">
        <v>0</v>
      </c>
      <c r="S66" s="4">
        <v>13</v>
      </c>
      <c r="T66" s="1" t="s">
        <v>782</v>
      </c>
    </row>
    <row r="67" spans="1:20" x14ac:dyDescent="0.3">
      <c r="A67" s="3">
        <v>9007</v>
      </c>
      <c r="B67" s="1" t="s">
        <v>137</v>
      </c>
      <c r="C67" s="1" t="s">
        <v>138</v>
      </c>
      <c r="D67" s="1" t="s">
        <v>38</v>
      </c>
      <c r="E67" s="11">
        <v>45542</v>
      </c>
      <c r="F67" s="1">
        <v>212934</v>
      </c>
      <c r="G67" s="1">
        <v>446</v>
      </c>
      <c r="H67" s="1">
        <v>30497</v>
      </c>
      <c r="I67" s="1">
        <v>2083</v>
      </c>
      <c r="J67" s="1">
        <v>7651</v>
      </c>
      <c r="K67" s="1">
        <v>140222</v>
      </c>
      <c r="L67" s="1">
        <v>125685</v>
      </c>
      <c r="M67" s="2">
        <v>0.18893647796969953</v>
      </c>
      <c r="N67" s="1">
        <v>9</v>
      </c>
      <c r="O67" s="1">
        <v>16</v>
      </c>
      <c r="P67" s="1">
        <v>2662</v>
      </c>
      <c r="Q67" s="1">
        <v>20653</v>
      </c>
      <c r="R67" s="1">
        <v>0</v>
      </c>
      <c r="S67" s="4">
        <v>12</v>
      </c>
      <c r="T67" s="1" t="s">
        <v>787</v>
      </c>
    </row>
    <row r="68" spans="1:20" x14ac:dyDescent="0.3">
      <c r="A68" s="3">
        <v>9444</v>
      </c>
      <c r="B68" s="1" t="s">
        <v>139</v>
      </c>
      <c r="C68" s="1" t="s">
        <v>140</v>
      </c>
      <c r="D68" s="1" t="s">
        <v>20</v>
      </c>
      <c r="E68" s="11">
        <v>45416</v>
      </c>
      <c r="F68" s="1">
        <v>155729</v>
      </c>
      <c r="G68" s="1">
        <v>622</v>
      </c>
      <c r="H68" s="1">
        <v>16736</v>
      </c>
      <c r="I68" s="1">
        <v>2419</v>
      </c>
      <c r="J68" s="1">
        <v>3203</v>
      </c>
      <c r="K68" s="1">
        <v>41787</v>
      </c>
      <c r="L68" s="1">
        <v>78709</v>
      </c>
      <c r="M68" s="2">
        <v>0.14356991953971321</v>
      </c>
      <c r="N68" s="1">
        <v>17</v>
      </c>
      <c r="O68" s="1">
        <v>0</v>
      </c>
      <c r="P68" s="1">
        <v>441</v>
      </c>
      <c r="Q68" s="1">
        <v>3753</v>
      </c>
      <c r="R68" s="1">
        <v>113</v>
      </c>
      <c r="S68" s="4">
        <v>10</v>
      </c>
      <c r="T68" s="1" t="s">
        <v>783</v>
      </c>
    </row>
    <row r="69" spans="1:20" x14ac:dyDescent="0.3">
      <c r="A69" s="3">
        <v>6676</v>
      </c>
      <c r="B69" s="1" t="s">
        <v>141</v>
      </c>
      <c r="C69" s="1" t="s">
        <v>142</v>
      </c>
      <c r="D69" s="1" t="s">
        <v>15</v>
      </c>
      <c r="E69" s="11">
        <v>45443</v>
      </c>
      <c r="F69" s="1">
        <v>463600</v>
      </c>
      <c r="G69" s="1">
        <v>401</v>
      </c>
      <c r="H69" s="1">
        <v>58652</v>
      </c>
      <c r="I69" s="1">
        <v>9658</v>
      </c>
      <c r="J69" s="1">
        <v>4536</v>
      </c>
      <c r="K69" s="1">
        <v>223640</v>
      </c>
      <c r="L69" s="1">
        <v>265255</v>
      </c>
      <c r="M69" s="2">
        <v>0.15713114754098362</v>
      </c>
      <c r="N69" s="1">
        <v>9</v>
      </c>
      <c r="O69" s="1">
        <v>0</v>
      </c>
      <c r="P69" s="1">
        <v>5625</v>
      </c>
      <c r="Q69" s="1">
        <v>15985</v>
      </c>
      <c r="R69" s="1">
        <v>972</v>
      </c>
      <c r="S69" s="4">
        <v>15</v>
      </c>
      <c r="T69" s="1" t="s">
        <v>789</v>
      </c>
    </row>
    <row r="70" spans="1:20" x14ac:dyDescent="0.3">
      <c r="A70" s="3">
        <v>6201</v>
      </c>
      <c r="B70" s="1" t="s">
        <v>143</v>
      </c>
      <c r="C70" s="1" t="s">
        <v>144</v>
      </c>
      <c r="D70" s="1" t="s">
        <v>15</v>
      </c>
      <c r="E70" s="11">
        <v>45368</v>
      </c>
      <c r="F70" s="1">
        <v>43822</v>
      </c>
      <c r="G70" s="1">
        <v>966</v>
      </c>
      <c r="H70" s="1">
        <v>4432</v>
      </c>
      <c r="I70" s="1">
        <v>788</v>
      </c>
      <c r="J70" s="1">
        <v>161</v>
      </c>
      <c r="K70" s="1">
        <v>19975</v>
      </c>
      <c r="L70" s="1">
        <v>14854</v>
      </c>
      <c r="M70" s="2">
        <v>0.12279220482862489</v>
      </c>
      <c r="N70" s="1">
        <v>19</v>
      </c>
      <c r="O70" s="1">
        <v>0</v>
      </c>
      <c r="P70" s="1">
        <v>433</v>
      </c>
      <c r="Q70" s="1">
        <v>1818</v>
      </c>
      <c r="R70" s="1">
        <v>98</v>
      </c>
      <c r="S70" s="4">
        <v>17</v>
      </c>
      <c r="T70" s="1" t="s">
        <v>791</v>
      </c>
    </row>
    <row r="71" spans="1:20" x14ac:dyDescent="0.3">
      <c r="A71" s="3">
        <v>7892</v>
      </c>
      <c r="B71" s="1" t="s">
        <v>145</v>
      </c>
      <c r="C71" s="1" t="s">
        <v>146</v>
      </c>
      <c r="D71" s="1" t="s">
        <v>20</v>
      </c>
      <c r="E71" s="11">
        <v>45443</v>
      </c>
      <c r="F71" s="1">
        <v>45755</v>
      </c>
      <c r="G71" s="1">
        <v>1135</v>
      </c>
      <c r="H71" s="1">
        <v>5299</v>
      </c>
      <c r="I71" s="1">
        <v>948</v>
      </c>
      <c r="J71" s="1">
        <v>1401</v>
      </c>
      <c r="K71" s="1">
        <v>6527</v>
      </c>
      <c r="L71" s="1">
        <v>26824</v>
      </c>
      <c r="M71" s="2">
        <v>0.16715113102393181</v>
      </c>
      <c r="N71" s="1">
        <v>13</v>
      </c>
      <c r="O71" s="1">
        <v>0</v>
      </c>
      <c r="P71" s="1">
        <v>261</v>
      </c>
      <c r="Q71" s="1">
        <v>926</v>
      </c>
      <c r="R71" s="1">
        <v>0</v>
      </c>
      <c r="S71" s="4">
        <v>6</v>
      </c>
      <c r="T71" s="1" t="s">
        <v>792</v>
      </c>
    </row>
    <row r="72" spans="1:20" x14ac:dyDescent="0.3">
      <c r="A72" s="3">
        <v>1423</v>
      </c>
      <c r="B72" s="1" t="s">
        <v>109</v>
      </c>
      <c r="C72" s="1" t="s">
        <v>147</v>
      </c>
      <c r="D72" s="1" t="s">
        <v>38</v>
      </c>
      <c r="E72" s="11">
        <v>45341</v>
      </c>
      <c r="F72" s="1">
        <v>440042</v>
      </c>
      <c r="G72" s="1">
        <v>162</v>
      </c>
      <c r="H72" s="1">
        <v>1535</v>
      </c>
      <c r="I72" s="1">
        <v>20</v>
      </c>
      <c r="J72" s="1">
        <v>106</v>
      </c>
      <c r="K72" s="1">
        <v>3054</v>
      </c>
      <c r="L72" s="1">
        <v>11226</v>
      </c>
      <c r="M72" s="2">
        <v>3.774639693483804E-3</v>
      </c>
      <c r="N72" s="1">
        <v>8</v>
      </c>
      <c r="O72" s="1">
        <v>26</v>
      </c>
      <c r="P72" s="1">
        <v>99</v>
      </c>
      <c r="Q72" s="1">
        <v>317</v>
      </c>
      <c r="R72" s="1">
        <v>4</v>
      </c>
      <c r="S72" s="4">
        <v>18</v>
      </c>
      <c r="T72" s="1" t="s">
        <v>793</v>
      </c>
    </row>
    <row r="73" spans="1:20" x14ac:dyDescent="0.3">
      <c r="A73" s="3">
        <v>7318</v>
      </c>
      <c r="B73" s="1" t="s">
        <v>83</v>
      </c>
      <c r="C73" s="1" t="s">
        <v>148</v>
      </c>
      <c r="D73" s="1" t="s">
        <v>15</v>
      </c>
      <c r="E73" s="11">
        <v>45466</v>
      </c>
      <c r="F73" s="1">
        <v>274452</v>
      </c>
      <c r="G73" s="1">
        <v>1578</v>
      </c>
      <c r="H73" s="1">
        <v>30504</v>
      </c>
      <c r="I73" s="1">
        <v>2050</v>
      </c>
      <c r="J73" s="1">
        <v>5678</v>
      </c>
      <c r="K73" s="1">
        <v>76689</v>
      </c>
      <c r="L73" s="1">
        <v>137752</v>
      </c>
      <c r="M73" s="2">
        <v>0.1393030475274365</v>
      </c>
      <c r="N73" s="1">
        <v>14</v>
      </c>
      <c r="O73" s="1">
        <v>0</v>
      </c>
      <c r="P73" s="1">
        <v>3031</v>
      </c>
      <c r="Q73" s="1">
        <v>5402</v>
      </c>
      <c r="R73" s="1">
        <v>0</v>
      </c>
      <c r="S73" s="4">
        <v>14</v>
      </c>
      <c r="T73" s="1" t="s">
        <v>788</v>
      </c>
    </row>
    <row r="74" spans="1:20" x14ac:dyDescent="0.3">
      <c r="A74" s="3">
        <v>1897</v>
      </c>
      <c r="B74" s="1" t="s">
        <v>149</v>
      </c>
      <c r="C74" s="1" t="s">
        <v>150</v>
      </c>
      <c r="D74" s="1" t="s">
        <v>15</v>
      </c>
      <c r="E74" s="11">
        <v>45416</v>
      </c>
      <c r="F74" s="1">
        <v>44846</v>
      </c>
      <c r="G74" s="1">
        <v>1920</v>
      </c>
      <c r="H74" s="1">
        <v>5491</v>
      </c>
      <c r="I74" s="1">
        <v>280</v>
      </c>
      <c r="J74" s="1">
        <v>27</v>
      </c>
      <c r="K74" s="1">
        <v>22209</v>
      </c>
      <c r="L74" s="1">
        <v>20843</v>
      </c>
      <c r="M74" s="2">
        <v>0.12928689292244569</v>
      </c>
      <c r="N74" s="1">
        <v>18</v>
      </c>
      <c r="O74" s="1">
        <v>0</v>
      </c>
      <c r="P74" s="1">
        <v>526</v>
      </c>
      <c r="Q74" s="1">
        <v>1882</v>
      </c>
      <c r="R74" s="1">
        <v>0</v>
      </c>
      <c r="S74" s="4">
        <v>6</v>
      </c>
      <c r="T74" s="1" t="s">
        <v>792</v>
      </c>
    </row>
    <row r="75" spans="1:20" x14ac:dyDescent="0.3">
      <c r="A75" s="3">
        <v>2556</v>
      </c>
      <c r="B75" s="1" t="s">
        <v>151</v>
      </c>
      <c r="C75" s="1" t="s">
        <v>152</v>
      </c>
      <c r="D75" s="1" t="s">
        <v>38</v>
      </c>
      <c r="E75" s="11">
        <v>45599</v>
      </c>
      <c r="F75" s="1">
        <v>239489</v>
      </c>
      <c r="G75" s="1">
        <v>1460</v>
      </c>
      <c r="H75" s="1">
        <v>15391</v>
      </c>
      <c r="I75" s="1">
        <v>2808</v>
      </c>
      <c r="J75" s="1">
        <v>4502</v>
      </c>
      <c r="K75" s="1">
        <v>46355</v>
      </c>
      <c r="L75" s="1">
        <v>99597</v>
      </c>
      <c r="M75" s="2">
        <v>9.4789322265323245E-2</v>
      </c>
      <c r="N75" s="1">
        <v>8</v>
      </c>
      <c r="O75" s="1">
        <v>18</v>
      </c>
      <c r="P75" s="1">
        <v>367</v>
      </c>
      <c r="Q75" s="1">
        <v>3900</v>
      </c>
      <c r="R75" s="1">
        <v>0</v>
      </c>
      <c r="S75" s="4">
        <v>13</v>
      </c>
      <c r="T75" s="1" t="s">
        <v>782</v>
      </c>
    </row>
    <row r="76" spans="1:20" x14ac:dyDescent="0.3">
      <c r="A76" s="3">
        <v>2991</v>
      </c>
      <c r="B76" s="1" t="s">
        <v>153</v>
      </c>
      <c r="C76" s="1" t="s">
        <v>154</v>
      </c>
      <c r="D76" s="1" t="s">
        <v>15</v>
      </c>
      <c r="E76" s="11">
        <v>45639</v>
      </c>
      <c r="F76" s="1">
        <v>280243</v>
      </c>
      <c r="G76" s="1">
        <v>699</v>
      </c>
      <c r="H76" s="1">
        <v>33007</v>
      </c>
      <c r="I76" s="1">
        <v>145</v>
      </c>
      <c r="J76" s="1">
        <v>260</v>
      </c>
      <c r="K76" s="1">
        <v>159885</v>
      </c>
      <c r="L76" s="1">
        <v>148855</v>
      </c>
      <c r="M76" s="2">
        <v>0.11922510107299736</v>
      </c>
      <c r="N76" s="1">
        <v>7</v>
      </c>
      <c r="O76" s="1">
        <v>0</v>
      </c>
      <c r="P76" s="1">
        <v>3184</v>
      </c>
      <c r="Q76" s="1">
        <v>28922</v>
      </c>
      <c r="R76" s="1">
        <v>2489</v>
      </c>
      <c r="S76" s="4">
        <v>8</v>
      </c>
      <c r="T76" s="1" t="s">
        <v>796</v>
      </c>
    </row>
    <row r="77" spans="1:20" x14ac:dyDescent="0.3">
      <c r="A77" s="3">
        <v>3593</v>
      </c>
      <c r="B77" s="1" t="s">
        <v>75</v>
      </c>
      <c r="C77" s="1" t="s">
        <v>155</v>
      </c>
      <c r="D77" s="1" t="s">
        <v>38</v>
      </c>
      <c r="E77" s="11">
        <v>45341</v>
      </c>
      <c r="F77" s="1">
        <v>104860</v>
      </c>
      <c r="G77" s="1">
        <v>712</v>
      </c>
      <c r="H77" s="1">
        <v>8794</v>
      </c>
      <c r="I77" s="1">
        <v>977</v>
      </c>
      <c r="J77" s="1">
        <v>1700</v>
      </c>
      <c r="K77" s="1">
        <v>28081</v>
      </c>
      <c r="L77" s="1">
        <v>43145</v>
      </c>
      <c r="M77" s="2">
        <v>0.10939347701697501</v>
      </c>
      <c r="N77" s="1">
        <v>5</v>
      </c>
      <c r="O77" s="1">
        <v>5</v>
      </c>
      <c r="P77" s="1">
        <v>546</v>
      </c>
      <c r="Q77" s="1">
        <v>3641</v>
      </c>
      <c r="R77" s="1">
        <v>298</v>
      </c>
      <c r="S77" s="4">
        <v>22</v>
      </c>
      <c r="T77" s="1" t="s">
        <v>784</v>
      </c>
    </row>
    <row r="78" spans="1:20" x14ac:dyDescent="0.3">
      <c r="A78" s="3">
        <v>8848</v>
      </c>
      <c r="B78" s="1" t="s">
        <v>156</v>
      </c>
      <c r="C78" s="1" t="s">
        <v>157</v>
      </c>
      <c r="D78" s="1" t="s">
        <v>15</v>
      </c>
      <c r="E78" s="11">
        <v>45539</v>
      </c>
      <c r="F78" s="1">
        <v>387342</v>
      </c>
      <c r="G78" s="1">
        <v>297</v>
      </c>
      <c r="H78" s="1">
        <v>52034</v>
      </c>
      <c r="I78" s="1">
        <v>2101</v>
      </c>
      <c r="J78" s="1">
        <v>6786</v>
      </c>
      <c r="K78" s="1">
        <v>83122</v>
      </c>
      <c r="L78" s="1">
        <v>117897</v>
      </c>
      <c r="M78" s="2">
        <v>0.15727961336493332</v>
      </c>
      <c r="N78" s="1">
        <v>7</v>
      </c>
      <c r="O78" s="1">
        <v>0</v>
      </c>
      <c r="P78" s="1">
        <v>3008</v>
      </c>
      <c r="Q78" s="1">
        <v>8732</v>
      </c>
      <c r="R78" s="1">
        <v>0</v>
      </c>
      <c r="S78" s="4">
        <v>21</v>
      </c>
      <c r="T78" s="1" t="s">
        <v>799</v>
      </c>
    </row>
    <row r="79" spans="1:20" x14ac:dyDescent="0.3">
      <c r="A79" s="3">
        <v>6474</v>
      </c>
      <c r="B79" s="1" t="s">
        <v>158</v>
      </c>
      <c r="C79" s="1" t="s">
        <v>159</v>
      </c>
      <c r="D79" s="1" t="s">
        <v>15</v>
      </c>
      <c r="E79" s="11">
        <v>45337</v>
      </c>
      <c r="F79" s="1">
        <v>43663</v>
      </c>
      <c r="G79" s="1">
        <v>1326</v>
      </c>
      <c r="H79" s="1">
        <v>1931</v>
      </c>
      <c r="I79" s="1">
        <v>287</v>
      </c>
      <c r="J79" s="1">
        <v>81</v>
      </c>
      <c r="K79" s="1">
        <v>3808</v>
      </c>
      <c r="L79" s="1">
        <v>15068</v>
      </c>
      <c r="M79" s="2">
        <v>5.2653276229301695E-2</v>
      </c>
      <c r="N79" s="1">
        <v>18</v>
      </c>
      <c r="O79" s="1">
        <v>0</v>
      </c>
      <c r="P79" s="1">
        <v>158</v>
      </c>
      <c r="Q79" s="1">
        <v>573</v>
      </c>
      <c r="R79" s="1">
        <v>51</v>
      </c>
      <c r="S79" s="4">
        <v>13</v>
      </c>
      <c r="T79" s="1" t="s">
        <v>782</v>
      </c>
    </row>
    <row r="80" spans="1:20" x14ac:dyDescent="0.3">
      <c r="A80" s="3">
        <v>6662</v>
      </c>
      <c r="B80" s="1" t="s">
        <v>160</v>
      </c>
      <c r="C80" s="1" t="s">
        <v>161</v>
      </c>
      <c r="D80" s="1" t="s">
        <v>38</v>
      </c>
      <c r="E80" s="11">
        <v>45581</v>
      </c>
      <c r="F80" s="1">
        <v>131822</v>
      </c>
      <c r="G80" s="1">
        <v>1936</v>
      </c>
      <c r="H80" s="1">
        <v>7577</v>
      </c>
      <c r="I80" s="1">
        <v>422</v>
      </c>
      <c r="J80" s="1">
        <v>1680</v>
      </c>
      <c r="K80" s="1">
        <v>35052</v>
      </c>
      <c r="L80" s="1">
        <v>30420</v>
      </c>
      <c r="M80" s="2">
        <v>7.3424769765289555E-2</v>
      </c>
      <c r="N80" s="1">
        <v>24</v>
      </c>
      <c r="O80" s="1">
        <v>37</v>
      </c>
      <c r="P80" s="1">
        <v>672</v>
      </c>
      <c r="Q80" s="1">
        <v>2139</v>
      </c>
      <c r="R80" s="1">
        <v>173</v>
      </c>
      <c r="S80" s="4">
        <v>14</v>
      </c>
      <c r="T80" s="1" t="s">
        <v>788</v>
      </c>
    </row>
    <row r="81" spans="1:20" x14ac:dyDescent="0.3">
      <c r="A81" s="3">
        <v>1421</v>
      </c>
      <c r="B81" s="1" t="s">
        <v>162</v>
      </c>
      <c r="C81" s="1" t="s">
        <v>163</v>
      </c>
      <c r="D81" s="1" t="s">
        <v>15</v>
      </c>
      <c r="E81" s="11">
        <v>45613</v>
      </c>
      <c r="F81" s="1">
        <v>414595</v>
      </c>
      <c r="G81" s="1">
        <v>1393</v>
      </c>
      <c r="H81" s="1">
        <v>920</v>
      </c>
      <c r="I81" s="1">
        <v>120</v>
      </c>
      <c r="J81" s="1">
        <v>165</v>
      </c>
      <c r="K81" s="1">
        <v>4136</v>
      </c>
      <c r="L81" s="1">
        <v>5030</v>
      </c>
      <c r="M81" s="2">
        <v>2.9064508737442563E-3</v>
      </c>
      <c r="N81" s="1">
        <v>14</v>
      </c>
      <c r="O81" s="1">
        <v>0</v>
      </c>
      <c r="P81" s="1">
        <v>66</v>
      </c>
      <c r="Q81" s="1">
        <v>743</v>
      </c>
      <c r="R81" s="1">
        <v>0</v>
      </c>
      <c r="S81" s="4">
        <v>13</v>
      </c>
      <c r="T81" s="1" t="s">
        <v>782</v>
      </c>
    </row>
    <row r="82" spans="1:20" x14ac:dyDescent="0.3">
      <c r="A82" s="3">
        <v>1315</v>
      </c>
      <c r="B82" s="1" t="s">
        <v>164</v>
      </c>
      <c r="C82" s="1" t="s">
        <v>165</v>
      </c>
      <c r="D82" s="1" t="s">
        <v>15</v>
      </c>
      <c r="E82" s="11">
        <v>45457</v>
      </c>
      <c r="F82" s="1">
        <v>295476</v>
      </c>
      <c r="G82" s="1">
        <v>1207</v>
      </c>
      <c r="H82" s="1">
        <v>40590</v>
      </c>
      <c r="I82" s="1">
        <v>419</v>
      </c>
      <c r="J82" s="1">
        <v>8369</v>
      </c>
      <c r="K82" s="1">
        <v>136037</v>
      </c>
      <c r="L82" s="1">
        <v>261842</v>
      </c>
      <c r="M82" s="2">
        <v>0.167113403457472</v>
      </c>
      <c r="N82" s="1">
        <v>9</v>
      </c>
      <c r="O82" s="1">
        <v>0</v>
      </c>
      <c r="P82" s="1">
        <v>1525</v>
      </c>
      <c r="Q82" s="1">
        <v>25390</v>
      </c>
      <c r="R82" s="1">
        <v>1771</v>
      </c>
      <c r="S82" s="4">
        <v>16</v>
      </c>
      <c r="T82" s="1" t="s">
        <v>790</v>
      </c>
    </row>
    <row r="83" spans="1:20" x14ac:dyDescent="0.3">
      <c r="A83" s="3">
        <v>2167</v>
      </c>
      <c r="B83" s="1" t="s">
        <v>166</v>
      </c>
      <c r="C83" s="1" t="s">
        <v>167</v>
      </c>
      <c r="D83" s="1" t="s">
        <v>15</v>
      </c>
      <c r="E83" s="11">
        <v>45534</v>
      </c>
      <c r="F83" s="1">
        <v>241730</v>
      </c>
      <c r="G83" s="1">
        <v>1542</v>
      </c>
      <c r="H83" s="1">
        <v>18641</v>
      </c>
      <c r="I83" s="1">
        <v>3167</v>
      </c>
      <c r="J83" s="1">
        <v>2589</v>
      </c>
      <c r="K83" s="1">
        <v>83203</v>
      </c>
      <c r="L83" s="1">
        <v>146378</v>
      </c>
      <c r="M83" s="2">
        <v>0.1009266537045464</v>
      </c>
      <c r="N83" s="1">
        <v>21</v>
      </c>
      <c r="O83" s="1">
        <v>0</v>
      </c>
      <c r="P83" s="1">
        <v>759</v>
      </c>
      <c r="Q83" s="1">
        <v>11110</v>
      </c>
      <c r="R83" s="1">
        <v>229</v>
      </c>
      <c r="S83" s="4">
        <v>6</v>
      </c>
      <c r="T83" s="1" t="s">
        <v>792</v>
      </c>
    </row>
    <row r="84" spans="1:20" x14ac:dyDescent="0.3">
      <c r="A84" s="3">
        <v>3690</v>
      </c>
      <c r="B84" s="1" t="s">
        <v>168</v>
      </c>
      <c r="C84" s="1" t="s">
        <v>169</v>
      </c>
      <c r="D84" s="1" t="s">
        <v>20</v>
      </c>
      <c r="E84" s="11">
        <v>45452</v>
      </c>
      <c r="F84" s="1">
        <v>167063</v>
      </c>
      <c r="G84" s="1">
        <v>980</v>
      </c>
      <c r="H84" s="1">
        <v>9579</v>
      </c>
      <c r="I84" s="1">
        <v>1477</v>
      </c>
      <c r="J84" s="1">
        <v>1345</v>
      </c>
      <c r="K84" s="1">
        <v>37808</v>
      </c>
      <c r="L84" s="1">
        <v>35358</v>
      </c>
      <c r="M84" s="2">
        <v>7.4229482291111731E-2</v>
      </c>
      <c r="N84" s="1">
        <v>10</v>
      </c>
      <c r="O84" s="1">
        <v>0</v>
      </c>
      <c r="P84" s="1">
        <v>885</v>
      </c>
      <c r="Q84" s="1">
        <v>4340</v>
      </c>
      <c r="R84" s="1">
        <v>0</v>
      </c>
      <c r="S84" s="4">
        <v>7</v>
      </c>
      <c r="T84" s="1" t="s">
        <v>794</v>
      </c>
    </row>
    <row r="85" spans="1:20" x14ac:dyDescent="0.3">
      <c r="A85" s="3">
        <v>4928</v>
      </c>
      <c r="B85" s="1" t="s">
        <v>33</v>
      </c>
      <c r="C85" s="1" t="s">
        <v>170</v>
      </c>
      <c r="D85" s="1" t="s">
        <v>20</v>
      </c>
      <c r="E85" s="11">
        <v>45517</v>
      </c>
      <c r="F85" s="1">
        <v>147701</v>
      </c>
      <c r="G85" s="1">
        <v>150</v>
      </c>
      <c r="H85" s="1">
        <v>10011</v>
      </c>
      <c r="I85" s="1">
        <v>1820</v>
      </c>
      <c r="J85" s="1">
        <v>389</v>
      </c>
      <c r="K85" s="1">
        <v>15153</v>
      </c>
      <c r="L85" s="1">
        <v>22967</v>
      </c>
      <c r="M85" s="2">
        <v>8.2734714050683472E-2</v>
      </c>
      <c r="N85" s="1">
        <v>11</v>
      </c>
      <c r="O85" s="1">
        <v>0</v>
      </c>
      <c r="P85" s="1">
        <v>458</v>
      </c>
      <c r="Q85" s="1">
        <v>2946</v>
      </c>
      <c r="R85" s="1">
        <v>88</v>
      </c>
      <c r="S85" s="4">
        <v>6</v>
      </c>
      <c r="T85" s="1" t="s">
        <v>792</v>
      </c>
    </row>
    <row r="86" spans="1:20" x14ac:dyDescent="0.3">
      <c r="A86" s="3">
        <v>1509</v>
      </c>
      <c r="B86" s="1" t="s">
        <v>23</v>
      </c>
      <c r="C86" s="1" t="s">
        <v>171</v>
      </c>
      <c r="D86" s="1" t="s">
        <v>15</v>
      </c>
      <c r="E86" s="11">
        <v>45412</v>
      </c>
      <c r="F86" s="1">
        <v>79854</v>
      </c>
      <c r="G86" s="1">
        <v>1836</v>
      </c>
      <c r="H86" s="1">
        <v>7631</v>
      </c>
      <c r="I86" s="1">
        <v>1464</v>
      </c>
      <c r="J86" s="1">
        <v>1367</v>
      </c>
      <c r="K86" s="1">
        <v>18473</v>
      </c>
      <c r="L86" s="1">
        <v>58082</v>
      </c>
      <c r="M86" s="2">
        <v>0.13101410073383926</v>
      </c>
      <c r="N86" s="1">
        <v>4</v>
      </c>
      <c r="O86" s="1">
        <v>0</v>
      </c>
      <c r="P86" s="1">
        <v>655</v>
      </c>
      <c r="Q86" s="1">
        <v>1564</v>
      </c>
      <c r="R86" s="1">
        <v>116</v>
      </c>
      <c r="S86" s="4">
        <v>7</v>
      </c>
      <c r="T86" s="1" t="s">
        <v>794</v>
      </c>
    </row>
    <row r="87" spans="1:20" x14ac:dyDescent="0.3">
      <c r="A87" s="3">
        <v>6881</v>
      </c>
      <c r="B87" s="1" t="s">
        <v>172</v>
      </c>
      <c r="C87" s="1" t="s">
        <v>173</v>
      </c>
      <c r="D87" s="1" t="s">
        <v>38</v>
      </c>
      <c r="E87" s="11">
        <v>45389</v>
      </c>
      <c r="F87" s="1">
        <v>451513</v>
      </c>
      <c r="G87" s="1">
        <v>513</v>
      </c>
      <c r="H87" s="1">
        <v>21863</v>
      </c>
      <c r="I87" s="1">
        <v>2927</v>
      </c>
      <c r="J87" s="1">
        <v>1823</v>
      </c>
      <c r="K87" s="1">
        <v>28876</v>
      </c>
      <c r="L87" s="1">
        <v>68868</v>
      </c>
      <c r="M87" s="2">
        <v>5.8941824487888497E-2</v>
      </c>
      <c r="N87" s="1">
        <v>11</v>
      </c>
      <c r="O87" s="1">
        <v>22</v>
      </c>
      <c r="P87" s="1">
        <v>729</v>
      </c>
      <c r="Q87" s="1">
        <v>1761</v>
      </c>
      <c r="R87" s="1">
        <v>128</v>
      </c>
      <c r="S87" s="4">
        <v>19</v>
      </c>
      <c r="T87" s="1" t="s">
        <v>795</v>
      </c>
    </row>
    <row r="88" spans="1:20" x14ac:dyDescent="0.3">
      <c r="A88" s="3">
        <v>3330</v>
      </c>
      <c r="B88" s="1" t="s">
        <v>174</v>
      </c>
      <c r="C88" s="1" t="s">
        <v>175</v>
      </c>
      <c r="D88" s="1" t="s">
        <v>20</v>
      </c>
      <c r="E88" s="11">
        <v>45382</v>
      </c>
      <c r="F88" s="1">
        <v>445661</v>
      </c>
      <c r="G88" s="1">
        <v>333</v>
      </c>
      <c r="H88" s="1">
        <v>49735</v>
      </c>
      <c r="I88" s="1">
        <v>7903</v>
      </c>
      <c r="J88" s="1">
        <v>374</v>
      </c>
      <c r="K88" s="1">
        <v>177155</v>
      </c>
      <c r="L88" s="1">
        <v>363373</v>
      </c>
      <c r="M88" s="2">
        <v>0.13017069027803643</v>
      </c>
      <c r="N88" s="1">
        <v>16</v>
      </c>
      <c r="O88" s="1">
        <v>0</v>
      </c>
      <c r="P88" s="1">
        <v>3019</v>
      </c>
      <c r="Q88" s="1">
        <v>12356</v>
      </c>
      <c r="R88" s="1">
        <v>182</v>
      </c>
      <c r="S88" s="4">
        <v>14</v>
      </c>
      <c r="T88" s="1" t="s">
        <v>788</v>
      </c>
    </row>
    <row r="89" spans="1:20" x14ac:dyDescent="0.3">
      <c r="A89" s="3">
        <v>8578</v>
      </c>
      <c r="B89" s="1" t="s">
        <v>124</v>
      </c>
      <c r="C89" s="1" t="s">
        <v>176</v>
      </c>
      <c r="D89" s="1" t="s">
        <v>38</v>
      </c>
      <c r="E89" s="11">
        <v>45400</v>
      </c>
      <c r="F89" s="1">
        <v>298368</v>
      </c>
      <c r="G89" s="1">
        <v>589</v>
      </c>
      <c r="H89" s="1">
        <v>5666</v>
      </c>
      <c r="I89" s="1">
        <v>186</v>
      </c>
      <c r="J89" s="1">
        <v>1469</v>
      </c>
      <c r="K89" s="1">
        <v>6127</v>
      </c>
      <c r="L89" s="1">
        <v>23135</v>
      </c>
      <c r="M89" s="2">
        <v>2.45368135993136E-2</v>
      </c>
      <c r="N89" s="1">
        <v>21</v>
      </c>
      <c r="O89" s="1">
        <v>26</v>
      </c>
      <c r="P89" s="1">
        <v>522</v>
      </c>
      <c r="Q89" s="1">
        <v>367</v>
      </c>
      <c r="R89" s="1">
        <v>3</v>
      </c>
      <c r="S89" s="4">
        <v>15</v>
      </c>
      <c r="T89" s="1" t="s">
        <v>789</v>
      </c>
    </row>
    <row r="90" spans="1:20" x14ac:dyDescent="0.3">
      <c r="A90" s="3">
        <v>3771</v>
      </c>
      <c r="B90" s="1" t="s">
        <v>80</v>
      </c>
      <c r="C90" s="1" t="s">
        <v>177</v>
      </c>
      <c r="D90" s="1" t="s">
        <v>38</v>
      </c>
      <c r="E90" s="11">
        <v>45413</v>
      </c>
      <c r="F90" s="1">
        <v>479613</v>
      </c>
      <c r="G90" s="1">
        <v>324</v>
      </c>
      <c r="H90" s="1">
        <v>9447</v>
      </c>
      <c r="I90" s="1">
        <v>1634</v>
      </c>
      <c r="J90" s="1">
        <v>2257</v>
      </c>
      <c r="K90" s="1">
        <v>16924</v>
      </c>
      <c r="L90" s="1">
        <v>54595</v>
      </c>
      <c r="M90" s="2">
        <v>2.7809921749410462E-2</v>
      </c>
      <c r="N90" s="1">
        <v>19</v>
      </c>
      <c r="O90" s="1">
        <v>36</v>
      </c>
      <c r="P90" s="1">
        <v>190</v>
      </c>
      <c r="Q90" s="1">
        <v>2121</v>
      </c>
      <c r="R90" s="1">
        <v>156</v>
      </c>
      <c r="S90" s="4">
        <v>9</v>
      </c>
      <c r="T90" s="1" t="s">
        <v>798</v>
      </c>
    </row>
    <row r="91" spans="1:20" x14ac:dyDescent="0.3">
      <c r="A91" s="3">
        <v>1446</v>
      </c>
      <c r="B91" s="1" t="s">
        <v>178</v>
      </c>
      <c r="C91" s="1" t="s">
        <v>179</v>
      </c>
      <c r="D91" s="1" t="s">
        <v>20</v>
      </c>
      <c r="E91" s="11">
        <v>45317</v>
      </c>
      <c r="F91" s="1">
        <v>55458</v>
      </c>
      <c r="G91" s="1">
        <v>718</v>
      </c>
      <c r="H91" s="1">
        <v>4970</v>
      </c>
      <c r="I91" s="1">
        <v>746</v>
      </c>
      <c r="J91" s="1">
        <v>234</v>
      </c>
      <c r="K91" s="1">
        <v>17291</v>
      </c>
      <c r="L91" s="1">
        <v>35038</v>
      </c>
      <c r="M91" s="2">
        <v>0.10728839842763893</v>
      </c>
      <c r="N91" s="1">
        <v>21</v>
      </c>
      <c r="O91" s="1">
        <v>0</v>
      </c>
      <c r="P91" s="1">
        <v>144</v>
      </c>
      <c r="Q91" s="1">
        <v>2079</v>
      </c>
      <c r="R91" s="1">
        <v>118</v>
      </c>
      <c r="S91" s="4">
        <v>14</v>
      </c>
      <c r="T91" s="1" t="s">
        <v>788</v>
      </c>
    </row>
    <row r="92" spans="1:20" x14ac:dyDescent="0.3">
      <c r="A92" s="3">
        <v>8481</v>
      </c>
      <c r="B92" s="1" t="s">
        <v>180</v>
      </c>
      <c r="C92" s="1" t="s">
        <v>181</v>
      </c>
      <c r="D92" s="1" t="s">
        <v>38</v>
      </c>
      <c r="E92" s="11">
        <v>45465</v>
      </c>
      <c r="F92" s="1">
        <v>417351</v>
      </c>
      <c r="G92" s="1">
        <v>1762</v>
      </c>
      <c r="H92" s="1">
        <v>32773</v>
      </c>
      <c r="I92" s="1">
        <v>5249</v>
      </c>
      <c r="J92" s="1">
        <v>8330</v>
      </c>
      <c r="K92" s="1">
        <v>76445</v>
      </c>
      <c r="L92" s="1">
        <v>200642</v>
      </c>
      <c r="M92" s="2">
        <v>0.11106239112881004</v>
      </c>
      <c r="N92" s="1">
        <v>18</v>
      </c>
      <c r="O92" s="1">
        <v>38</v>
      </c>
      <c r="P92" s="1">
        <v>2031</v>
      </c>
      <c r="Q92" s="1">
        <v>7610</v>
      </c>
      <c r="R92" s="1">
        <v>77</v>
      </c>
      <c r="S92" s="4">
        <v>15</v>
      </c>
      <c r="T92" s="1" t="s">
        <v>789</v>
      </c>
    </row>
    <row r="93" spans="1:20" x14ac:dyDescent="0.3">
      <c r="A93" s="3">
        <v>3915</v>
      </c>
      <c r="B93" s="1" t="s">
        <v>182</v>
      </c>
      <c r="C93" s="1" t="s">
        <v>183</v>
      </c>
      <c r="D93" s="1" t="s">
        <v>20</v>
      </c>
      <c r="E93" s="11">
        <v>45444</v>
      </c>
      <c r="F93" s="1">
        <v>274118</v>
      </c>
      <c r="G93" s="1">
        <v>1629</v>
      </c>
      <c r="H93" s="1">
        <v>26690</v>
      </c>
      <c r="I93" s="1">
        <v>3462</v>
      </c>
      <c r="J93" s="1">
        <v>4060</v>
      </c>
      <c r="K93" s="1">
        <v>38625</v>
      </c>
      <c r="L93" s="1">
        <v>184881</v>
      </c>
      <c r="M93" s="2">
        <v>0.12480756462545327</v>
      </c>
      <c r="N93" s="1">
        <v>7</v>
      </c>
      <c r="O93" s="1">
        <v>0</v>
      </c>
      <c r="P93" s="1">
        <v>1052</v>
      </c>
      <c r="Q93" s="1">
        <v>4836</v>
      </c>
      <c r="R93" s="1">
        <v>0</v>
      </c>
      <c r="S93" s="4">
        <v>8</v>
      </c>
      <c r="T93" s="1" t="s">
        <v>796</v>
      </c>
    </row>
    <row r="94" spans="1:20" x14ac:dyDescent="0.3">
      <c r="A94" s="3">
        <v>7495</v>
      </c>
      <c r="B94" s="1" t="s">
        <v>145</v>
      </c>
      <c r="C94" s="1" t="s">
        <v>184</v>
      </c>
      <c r="D94" s="1" t="s">
        <v>38</v>
      </c>
      <c r="E94" s="11">
        <v>45599</v>
      </c>
      <c r="F94" s="1">
        <v>36484</v>
      </c>
      <c r="G94" s="1">
        <v>1159</v>
      </c>
      <c r="H94" s="1">
        <v>171</v>
      </c>
      <c r="I94" s="1">
        <v>29</v>
      </c>
      <c r="J94" s="1">
        <v>46</v>
      </c>
      <c r="K94" s="1">
        <v>490</v>
      </c>
      <c r="L94" s="1">
        <v>509</v>
      </c>
      <c r="M94" s="2">
        <v>6.7426817234952311E-3</v>
      </c>
      <c r="N94" s="1">
        <v>18</v>
      </c>
      <c r="O94" s="1">
        <v>9</v>
      </c>
      <c r="P94" s="1">
        <v>17</v>
      </c>
      <c r="Q94" s="1">
        <v>84</v>
      </c>
      <c r="R94" s="1">
        <v>0</v>
      </c>
      <c r="S94" s="4">
        <v>23</v>
      </c>
      <c r="T94" s="1" t="s">
        <v>786</v>
      </c>
    </row>
    <row r="95" spans="1:20" x14ac:dyDescent="0.3">
      <c r="A95" s="3">
        <v>8993</v>
      </c>
      <c r="B95" s="1" t="s">
        <v>185</v>
      </c>
      <c r="C95" s="1" t="s">
        <v>186</v>
      </c>
      <c r="D95" s="1" t="s">
        <v>38</v>
      </c>
      <c r="E95" s="11">
        <v>45430</v>
      </c>
      <c r="F95" s="1">
        <v>231300</v>
      </c>
      <c r="G95" s="1">
        <v>574</v>
      </c>
      <c r="H95" s="1">
        <v>7400</v>
      </c>
      <c r="I95" s="1">
        <v>931</v>
      </c>
      <c r="J95" s="1">
        <v>1747</v>
      </c>
      <c r="K95" s="1">
        <v>25632</v>
      </c>
      <c r="L95" s="1">
        <v>27605</v>
      </c>
      <c r="M95" s="2">
        <v>4.3571119757890187E-2</v>
      </c>
      <c r="N95" s="1">
        <v>24</v>
      </c>
      <c r="O95" s="1">
        <v>38</v>
      </c>
      <c r="P95" s="1">
        <v>266</v>
      </c>
      <c r="Q95" s="1">
        <v>3021</v>
      </c>
      <c r="R95" s="1">
        <v>0</v>
      </c>
      <c r="S95" s="4">
        <v>19</v>
      </c>
      <c r="T95" s="1" t="s">
        <v>795</v>
      </c>
    </row>
    <row r="96" spans="1:20" x14ac:dyDescent="0.3">
      <c r="A96" s="3">
        <v>9778</v>
      </c>
      <c r="B96" s="1" t="s">
        <v>102</v>
      </c>
      <c r="C96" s="1" t="s">
        <v>187</v>
      </c>
      <c r="D96" s="1" t="s">
        <v>15</v>
      </c>
      <c r="E96" s="11">
        <v>45576</v>
      </c>
      <c r="F96" s="1">
        <v>316973</v>
      </c>
      <c r="G96" s="1">
        <v>1941</v>
      </c>
      <c r="H96" s="1">
        <v>25340</v>
      </c>
      <c r="I96" s="1">
        <v>3182</v>
      </c>
      <c r="J96" s="1">
        <v>2710</v>
      </c>
      <c r="K96" s="1">
        <v>90855</v>
      </c>
      <c r="L96" s="1">
        <v>113585</v>
      </c>
      <c r="M96" s="2">
        <v>9.8532051625848258E-2</v>
      </c>
      <c r="N96" s="1">
        <v>9</v>
      </c>
      <c r="O96" s="1">
        <v>0</v>
      </c>
      <c r="P96" s="1">
        <v>2102</v>
      </c>
      <c r="Q96" s="1">
        <v>9756</v>
      </c>
      <c r="R96" s="1">
        <v>751</v>
      </c>
      <c r="S96" s="4">
        <v>7</v>
      </c>
      <c r="T96" s="1" t="s">
        <v>794</v>
      </c>
    </row>
    <row r="97" spans="1:20" x14ac:dyDescent="0.3">
      <c r="A97" s="3">
        <v>8117</v>
      </c>
      <c r="B97" s="1" t="s">
        <v>188</v>
      </c>
      <c r="C97" s="1" t="s">
        <v>189</v>
      </c>
      <c r="D97" s="1" t="s">
        <v>20</v>
      </c>
      <c r="E97" s="11">
        <v>45536</v>
      </c>
      <c r="F97" s="1">
        <v>220602</v>
      </c>
      <c r="G97" s="1">
        <v>1991</v>
      </c>
      <c r="H97" s="1">
        <v>21108</v>
      </c>
      <c r="I97" s="1">
        <v>4146</v>
      </c>
      <c r="J97" s="1">
        <v>4330</v>
      </c>
      <c r="K97" s="1">
        <v>85478</v>
      </c>
      <c r="L97" s="1">
        <v>106776</v>
      </c>
      <c r="M97" s="2">
        <v>0.13410576513358899</v>
      </c>
      <c r="N97" s="1">
        <v>19</v>
      </c>
      <c r="O97" s="1">
        <v>0</v>
      </c>
      <c r="P97" s="1">
        <v>1948</v>
      </c>
      <c r="Q97" s="1">
        <v>12386</v>
      </c>
      <c r="R97" s="1">
        <v>0</v>
      </c>
      <c r="S97" s="4">
        <v>16</v>
      </c>
      <c r="T97" s="1" t="s">
        <v>790</v>
      </c>
    </row>
    <row r="98" spans="1:20" x14ac:dyDescent="0.3">
      <c r="A98" s="3">
        <v>5744</v>
      </c>
      <c r="B98" s="1" t="s">
        <v>190</v>
      </c>
      <c r="C98" s="1" t="s">
        <v>191</v>
      </c>
      <c r="D98" s="1" t="s">
        <v>38</v>
      </c>
      <c r="E98" s="11">
        <v>45329</v>
      </c>
      <c r="F98" s="1">
        <v>477198</v>
      </c>
      <c r="G98" s="1">
        <v>158</v>
      </c>
      <c r="H98" s="1">
        <v>33613</v>
      </c>
      <c r="I98" s="1">
        <v>4287</v>
      </c>
      <c r="J98" s="1">
        <v>8061</v>
      </c>
      <c r="K98" s="1">
        <v>43644</v>
      </c>
      <c r="L98" s="1">
        <v>92393</v>
      </c>
      <c r="M98" s="2">
        <v>9.6314318165625176E-2</v>
      </c>
      <c r="N98" s="1">
        <v>3</v>
      </c>
      <c r="O98" s="1">
        <v>20</v>
      </c>
      <c r="P98" s="1">
        <v>1673</v>
      </c>
      <c r="Q98" s="1">
        <v>6056</v>
      </c>
      <c r="R98" s="1">
        <v>127</v>
      </c>
      <c r="S98" s="4">
        <v>17</v>
      </c>
      <c r="T98" s="1" t="s">
        <v>791</v>
      </c>
    </row>
    <row r="99" spans="1:20" x14ac:dyDescent="0.3">
      <c r="A99" s="3">
        <v>1365</v>
      </c>
      <c r="B99" s="1" t="s">
        <v>192</v>
      </c>
      <c r="C99" s="1" t="s">
        <v>193</v>
      </c>
      <c r="D99" s="1" t="s">
        <v>38</v>
      </c>
      <c r="E99" s="11">
        <v>45343</v>
      </c>
      <c r="F99" s="1">
        <v>355957</v>
      </c>
      <c r="G99" s="1">
        <v>835</v>
      </c>
      <c r="H99" s="1">
        <v>27276</v>
      </c>
      <c r="I99" s="1">
        <v>5408</v>
      </c>
      <c r="J99" s="1">
        <v>3396</v>
      </c>
      <c r="K99" s="1">
        <v>54198</v>
      </c>
      <c r="L99" s="1">
        <v>192378</v>
      </c>
      <c r="M99" s="2">
        <v>0.1013605575954399</v>
      </c>
      <c r="N99" s="1">
        <v>8</v>
      </c>
      <c r="O99" s="1">
        <v>45</v>
      </c>
      <c r="P99" s="1">
        <v>1440</v>
      </c>
      <c r="Q99" s="1">
        <v>8738</v>
      </c>
      <c r="R99" s="1">
        <v>0</v>
      </c>
      <c r="S99" s="4">
        <v>20</v>
      </c>
      <c r="T99" s="1" t="s">
        <v>797</v>
      </c>
    </row>
    <row r="100" spans="1:20" x14ac:dyDescent="0.3">
      <c r="A100" s="3">
        <v>8121</v>
      </c>
      <c r="B100" s="1" t="s">
        <v>145</v>
      </c>
      <c r="C100" s="1" t="s">
        <v>194</v>
      </c>
      <c r="D100" s="1" t="s">
        <v>20</v>
      </c>
      <c r="E100" s="11">
        <v>45563</v>
      </c>
      <c r="F100" s="1">
        <v>419770</v>
      </c>
      <c r="G100" s="1">
        <v>1911</v>
      </c>
      <c r="H100" s="1">
        <v>48891</v>
      </c>
      <c r="I100" s="1">
        <v>7729</v>
      </c>
      <c r="J100" s="1">
        <v>13804</v>
      </c>
      <c r="K100" s="1">
        <v>121973</v>
      </c>
      <c r="L100" s="1">
        <v>238676</v>
      </c>
      <c r="M100" s="2">
        <v>0.16776806346332515</v>
      </c>
      <c r="N100" s="1">
        <v>9</v>
      </c>
      <c r="O100" s="1">
        <v>0</v>
      </c>
      <c r="P100" s="1">
        <v>1074</v>
      </c>
      <c r="Q100" s="1">
        <v>23389</v>
      </c>
      <c r="R100" s="1">
        <v>0</v>
      </c>
      <c r="S100" s="4">
        <v>11</v>
      </c>
      <c r="T100" s="1" t="s">
        <v>785</v>
      </c>
    </row>
    <row r="101" spans="1:20" x14ac:dyDescent="0.3">
      <c r="A101" s="3">
        <v>7823</v>
      </c>
      <c r="B101" s="1" t="s">
        <v>61</v>
      </c>
      <c r="C101" s="1" t="s">
        <v>195</v>
      </c>
      <c r="D101" s="1" t="s">
        <v>20</v>
      </c>
      <c r="E101" s="11">
        <v>45532</v>
      </c>
      <c r="F101" s="1">
        <v>167857</v>
      </c>
      <c r="G101" s="1">
        <v>334</v>
      </c>
      <c r="H101" s="1">
        <v>7123</v>
      </c>
      <c r="I101" s="1">
        <v>622</v>
      </c>
      <c r="J101" s="1">
        <v>1936</v>
      </c>
      <c r="K101" s="1">
        <v>11154</v>
      </c>
      <c r="L101" s="1">
        <v>43474</v>
      </c>
      <c r="M101" s="2">
        <v>5.7674091637524801E-2</v>
      </c>
      <c r="N101" s="1">
        <v>5</v>
      </c>
      <c r="O101" s="1">
        <v>0</v>
      </c>
      <c r="P101" s="1">
        <v>387</v>
      </c>
      <c r="Q101" s="1">
        <v>1551</v>
      </c>
      <c r="R101" s="1">
        <v>91</v>
      </c>
      <c r="S101" s="4">
        <v>6</v>
      </c>
      <c r="T101" s="1" t="s">
        <v>792</v>
      </c>
    </row>
    <row r="102" spans="1:20" x14ac:dyDescent="0.3">
      <c r="A102" s="3">
        <v>8611</v>
      </c>
      <c r="B102" s="1" t="s">
        <v>196</v>
      </c>
      <c r="C102" s="1" t="s">
        <v>197</v>
      </c>
      <c r="D102" s="1" t="s">
        <v>15</v>
      </c>
      <c r="E102" s="11">
        <v>45325</v>
      </c>
      <c r="F102" s="1">
        <v>439098</v>
      </c>
      <c r="G102" s="1">
        <v>555</v>
      </c>
      <c r="H102" s="1">
        <v>16232</v>
      </c>
      <c r="I102" s="1">
        <v>1343</v>
      </c>
      <c r="J102" s="1">
        <v>4622</v>
      </c>
      <c r="K102" s="1">
        <v>56870</v>
      </c>
      <c r="L102" s="1">
        <v>103518</v>
      </c>
      <c r="M102" s="2">
        <v>5.0551357555716492E-2</v>
      </c>
      <c r="N102" s="1">
        <v>16</v>
      </c>
      <c r="O102" s="1">
        <v>0</v>
      </c>
      <c r="P102" s="1">
        <v>1166</v>
      </c>
      <c r="Q102" s="1">
        <v>8872</v>
      </c>
      <c r="R102" s="1">
        <v>549</v>
      </c>
      <c r="S102" s="4">
        <v>15</v>
      </c>
      <c r="T102" s="1" t="s">
        <v>789</v>
      </c>
    </row>
    <row r="103" spans="1:20" x14ac:dyDescent="0.3">
      <c r="A103" s="3">
        <v>2971</v>
      </c>
      <c r="B103" s="1" t="s">
        <v>198</v>
      </c>
      <c r="C103" s="1" t="s">
        <v>199</v>
      </c>
      <c r="D103" s="1" t="s">
        <v>38</v>
      </c>
      <c r="E103" s="11">
        <v>45539</v>
      </c>
      <c r="F103" s="1">
        <v>18005</v>
      </c>
      <c r="G103" s="1">
        <v>118</v>
      </c>
      <c r="H103" s="1">
        <v>486</v>
      </c>
      <c r="I103" s="1">
        <v>11</v>
      </c>
      <c r="J103" s="1">
        <v>133</v>
      </c>
      <c r="K103" s="1">
        <v>2060</v>
      </c>
      <c r="L103" s="1">
        <v>3148</v>
      </c>
      <c r="M103" s="2">
        <v>3.4990280477645096E-2</v>
      </c>
      <c r="N103" s="1">
        <v>15</v>
      </c>
      <c r="O103" s="1">
        <v>9</v>
      </c>
      <c r="P103" s="1">
        <v>33</v>
      </c>
      <c r="Q103" s="1">
        <v>167</v>
      </c>
      <c r="R103" s="1">
        <v>0</v>
      </c>
      <c r="S103" s="4">
        <v>13</v>
      </c>
      <c r="T103" s="1" t="s">
        <v>782</v>
      </c>
    </row>
    <row r="104" spans="1:20" x14ac:dyDescent="0.3">
      <c r="A104" s="3">
        <v>7047</v>
      </c>
      <c r="B104" s="1" t="s">
        <v>25</v>
      </c>
      <c r="C104" s="1" t="s">
        <v>200</v>
      </c>
      <c r="D104" s="1" t="s">
        <v>20</v>
      </c>
      <c r="E104" s="11">
        <v>45371</v>
      </c>
      <c r="F104" s="1">
        <v>247103</v>
      </c>
      <c r="G104" s="1">
        <v>798</v>
      </c>
      <c r="H104" s="1">
        <v>11129</v>
      </c>
      <c r="I104" s="1">
        <v>1745</v>
      </c>
      <c r="J104" s="1">
        <v>3223</v>
      </c>
      <c r="K104" s="1">
        <v>44925</v>
      </c>
      <c r="L104" s="1">
        <v>63168</v>
      </c>
      <c r="M104" s="2">
        <v>6.5142875642950515E-2</v>
      </c>
      <c r="N104" s="1">
        <v>7</v>
      </c>
      <c r="O104" s="1">
        <v>0</v>
      </c>
      <c r="P104" s="1">
        <v>246</v>
      </c>
      <c r="Q104" s="1">
        <v>3129</v>
      </c>
      <c r="R104" s="1">
        <v>232</v>
      </c>
      <c r="S104" s="4">
        <v>18</v>
      </c>
      <c r="T104" s="1" t="s">
        <v>793</v>
      </c>
    </row>
    <row r="105" spans="1:20" x14ac:dyDescent="0.3">
      <c r="A105" s="3">
        <v>6127</v>
      </c>
      <c r="B105" s="1" t="s">
        <v>201</v>
      </c>
      <c r="C105" s="1" t="s">
        <v>202</v>
      </c>
      <c r="D105" s="1" t="s">
        <v>15</v>
      </c>
      <c r="E105" s="11">
        <v>45456</v>
      </c>
      <c r="F105" s="1">
        <v>300972</v>
      </c>
      <c r="G105" s="1">
        <v>1714</v>
      </c>
      <c r="H105" s="1">
        <v>27672</v>
      </c>
      <c r="I105" s="1">
        <v>3983</v>
      </c>
      <c r="J105" s="1">
        <v>5614</v>
      </c>
      <c r="K105" s="1">
        <v>42430</v>
      </c>
      <c r="L105" s="1">
        <v>128592</v>
      </c>
      <c r="M105" s="2">
        <v>0.1238287947051553</v>
      </c>
      <c r="N105" s="1">
        <v>8</v>
      </c>
      <c r="O105" s="1">
        <v>0</v>
      </c>
      <c r="P105" s="1">
        <v>2603</v>
      </c>
      <c r="Q105" s="1">
        <v>3445</v>
      </c>
      <c r="R105" s="1">
        <v>145</v>
      </c>
      <c r="S105" s="4">
        <v>15</v>
      </c>
      <c r="T105" s="1" t="s">
        <v>789</v>
      </c>
    </row>
    <row r="106" spans="1:20" x14ac:dyDescent="0.3">
      <c r="A106" s="3">
        <v>9842</v>
      </c>
      <c r="B106" s="1" t="s">
        <v>203</v>
      </c>
      <c r="C106" s="1" t="s">
        <v>204</v>
      </c>
      <c r="D106" s="1" t="s">
        <v>20</v>
      </c>
      <c r="E106" s="11">
        <v>45480</v>
      </c>
      <c r="F106" s="1">
        <v>74918</v>
      </c>
      <c r="G106" s="1">
        <v>1071</v>
      </c>
      <c r="H106" s="1">
        <v>10201</v>
      </c>
      <c r="I106" s="1">
        <v>1445</v>
      </c>
      <c r="J106" s="1">
        <v>2019</v>
      </c>
      <c r="K106" s="1">
        <v>17112</v>
      </c>
      <c r="L106" s="1">
        <v>30294</v>
      </c>
      <c r="M106" s="2">
        <v>0.1823994233695507</v>
      </c>
      <c r="N106" s="1">
        <v>25</v>
      </c>
      <c r="O106" s="1">
        <v>0</v>
      </c>
      <c r="P106" s="1">
        <v>514</v>
      </c>
      <c r="Q106" s="1">
        <v>1519</v>
      </c>
      <c r="R106" s="1">
        <v>0</v>
      </c>
      <c r="S106" s="4">
        <v>18</v>
      </c>
      <c r="T106" s="1" t="s">
        <v>793</v>
      </c>
    </row>
    <row r="107" spans="1:20" x14ac:dyDescent="0.3">
      <c r="A107" s="3">
        <v>1046</v>
      </c>
      <c r="B107" s="1" t="s">
        <v>205</v>
      </c>
      <c r="C107" s="1" t="s">
        <v>206</v>
      </c>
      <c r="D107" s="1" t="s">
        <v>38</v>
      </c>
      <c r="E107" s="11">
        <v>45655</v>
      </c>
      <c r="F107" s="1">
        <v>166418</v>
      </c>
      <c r="G107" s="1">
        <v>630</v>
      </c>
      <c r="H107" s="1">
        <v>2977</v>
      </c>
      <c r="I107" s="1">
        <v>179</v>
      </c>
      <c r="J107" s="1">
        <v>639</v>
      </c>
      <c r="K107" s="1">
        <v>6696</v>
      </c>
      <c r="L107" s="1">
        <v>19521</v>
      </c>
      <c r="M107" s="2">
        <v>2.2804023603215998E-2</v>
      </c>
      <c r="N107" s="1">
        <v>23</v>
      </c>
      <c r="O107" s="1">
        <v>35</v>
      </c>
      <c r="P107" s="1">
        <v>186</v>
      </c>
      <c r="Q107" s="1">
        <v>698</v>
      </c>
      <c r="R107" s="1">
        <v>44</v>
      </c>
      <c r="S107" s="4">
        <v>9</v>
      </c>
      <c r="T107" s="1" t="s">
        <v>798</v>
      </c>
    </row>
    <row r="108" spans="1:20" x14ac:dyDescent="0.3">
      <c r="A108" s="3">
        <v>4648</v>
      </c>
      <c r="B108" s="1" t="s">
        <v>207</v>
      </c>
      <c r="C108" s="1" t="s">
        <v>208</v>
      </c>
      <c r="D108" s="1" t="s">
        <v>20</v>
      </c>
      <c r="E108" s="11">
        <v>45452</v>
      </c>
      <c r="F108" s="1">
        <v>435161</v>
      </c>
      <c r="G108" s="1">
        <v>340</v>
      </c>
      <c r="H108" s="1">
        <v>40078</v>
      </c>
      <c r="I108" s="1">
        <v>5741</v>
      </c>
      <c r="J108" s="1">
        <v>11665</v>
      </c>
      <c r="K108" s="1">
        <v>117124</v>
      </c>
      <c r="L108" s="1">
        <v>134363</v>
      </c>
      <c r="M108" s="2">
        <v>0.13209823490616115</v>
      </c>
      <c r="N108" s="1">
        <v>24</v>
      </c>
      <c r="O108" s="1">
        <v>0</v>
      </c>
      <c r="P108" s="1">
        <v>1448</v>
      </c>
      <c r="Q108" s="1">
        <v>18949</v>
      </c>
      <c r="R108" s="1">
        <v>750</v>
      </c>
      <c r="S108" s="4">
        <v>18</v>
      </c>
      <c r="T108" s="1" t="s">
        <v>793</v>
      </c>
    </row>
    <row r="109" spans="1:20" x14ac:dyDescent="0.3">
      <c r="A109" s="3">
        <v>1320</v>
      </c>
      <c r="B109" s="1" t="s">
        <v>107</v>
      </c>
      <c r="C109" s="1" t="s">
        <v>209</v>
      </c>
      <c r="D109" s="1" t="s">
        <v>38</v>
      </c>
      <c r="E109" s="11">
        <v>45500</v>
      </c>
      <c r="F109" s="1">
        <v>38717</v>
      </c>
      <c r="G109" s="1">
        <v>1778</v>
      </c>
      <c r="H109" s="1">
        <v>5783</v>
      </c>
      <c r="I109" s="1">
        <v>546</v>
      </c>
      <c r="J109" s="1">
        <v>584</v>
      </c>
      <c r="K109" s="1">
        <v>26911</v>
      </c>
      <c r="L109" s="1">
        <v>30519</v>
      </c>
      <c r="M109" s="2">
        <v>0.17855205723583956</v>
      </c>
      <c r="N109" s="1">
        <v>25</v>
      </c>
      <c r="O109" s="1">
        <v>40</v>
      </c>
      <c r="P109" s="1">
        <v>533</v>
      </c>
      <c r="Q109" s="1">
        <v>5215</v>
      </c>
      <c r="R109" s="1">
        <v>0</v>
      </c>
      <c r="S109" s="4">
        <v>22</v>
      </c>
      <c r="T109" s="1" t="s">
        <v>784</v>
      </c>
    </row>
    <row r="110" spans="1:20" x14ac:dyDescent="0.3">
      <c r="A110" s="3">
        <v>3199</v>
      </c>
      <c r="B110" s="1" t="s">
        <v>210</v>
      </c>
      <c r="C110" s="1" t="s">
        <v>211</v>
      </c>
      <c r="D110" s="1" t="s">
        <v>20</v>
      </c>
      <c r="E110" s="11">
        <v>45569</v>
      </c>
      <c r="F110" s="1">
        <v>409577</v>
      </c>
      <c r="G110" s="1">
        <v>401</v>
      </c>
      <c r="H110" s="1">
        <v>60384</v>
      </c>
      <c r="I110" s="1">
        <v>6240</v>
      </c>
      <c r="J110" s="1">
        <v>16924</v>
      </c>
      <c r="K110" s="1">
        <v>224642</v>
      </c>
      <c r="L110" s="1">
        <v>138231</v>
      </c>
      <c r="M110" s="2">
        <v>0.20398606367056743</v>
      </c>
      <c r="N110" s="1">
        <v>22</v>
      </c>
      <c r="O110" s="1">
        <v>0</v>
      </c>
      <c r="P110" s="1">
        <v>5228</v>
      </c>
      <c r="Q110" s="1">
        <v>40084</v>
      </c>
      <c r="R110" s="1">
        <v>1918</v>
      </c>
      <c r="S110" s="4">
        <v>23</v>
      </c>
      <c r="T110" s="1" t="s">
        <v>786</v>
      </c>
    </row>
    <row r="111" spans="1:20" x14ac:dyDescent="0.3">
      <c r="A111" s="3">
        <v>6053</v>
      </c>
      <c r="B111" s="1" t="s">
        <v>83</v>
      </c>
      <c r="C111" s="1" t="s">
        <v>212</v>
      </c>
      <c r="D111" s="1" t="s">
        <v>20</v>
      </c>
      <c r="E111" s="11">
        <v>45641</v>
      </c>
      <c r="F111" s="1">
        <v>63096</v>
      </c>
      <c r="G111" s="1">
        <v>1981</v>
      </c>
      <c r="H111" s="1">
        <v>5314</v>
      </c>
      <c r="I111" s="1">
        <v>824</v>
      </c>
      <c r="J111" s="1">
        <v>871</v>
      </c>
      <c r="K111" s="1">
        <v>9890</v>
      </c>
      <c r="L111" s="1">
        <v>24719</v>
      </c>
      <c r="M111" s="2">
        <v>0.11108469633574236</v>
      </c>
      <c r="N111" s="1">
        <v>7</v>
      </c>
      <c r="O111" s="1">
        <v>0</v>
      </c>
      <c r="P111" s="1">
        <v>124</v>
      </c>
      <c r="Q111" s="1">
        <v>1226</v>
      </c>
      <c r="R111" s="1">
        <v>98</v>
      </c>
      <c r="S111" s="4">
        <v>19</v>
      </c>
      <c r="T111" s="1" t="s">
        <v>795</v>
      </c>
    </row>
    <row r="112" spans="1:20" x14ac:dyDescent="0.3">
      <c r="A112" s="3">
        <v>5078</v>
      </c>
      <c r="B112" s="1" t="s">
        <v>213</v>
      </c>
      <c r="C112" s="1" t="s">
        <v>214</v>
      </c>
      <c r="D112" s="1" t="s">
        <v>38</v>
      </c>
      <c r="E112" s="11">
        <v>45314</v>
      </c>
      <c r="F112" s="1">
        <v>319038</v>
      </c>
      <c r="G112" s="1">
        <v>1228</v>
      </c>
      <c r="H112" s="1">
        <v>10723</v>
      </c>
      <c r="I112" s="1">
        <v>1812</v>
      </c>
      <c r="J112" s="1">
        <v>1330</v>
      </c>
      <c r="K112" s="1">
        <v>28212</v>
      </c>
      <c r="L112" s="1">
        <v>25032</v>
      </c>
      <c r="M112" s="2">
        <v>4.345877293613927E-2</v>
      </c>
      <c r="N112" s="1">
        <v>8</v>
      </c>
      <c r="O112" s="1">
        <v>29</v>
      </c>
      <c r="P112" s="1">
        <v>1013</v>
      </c>
      <c r="Q112" s="1">
        <v>2276</v>
      </c>
      <c r="R112" s="1">
        <v>185</v>
      </c>
      <c r="S112" s="4">
        <v>18</v>
      </c>
      <c r="T112" s="1" t="s">
        <v>793</v>
      </c>
    </row>
    <row r="113" spans="1:20" x14ac:dyDescent="0.3">
      <c r="A113" s="3">
        <v>9202</v>
      </c>
      <c r="B113" s="1" t="s">
        <v>215</v>
      </c>
      <c r="C113" s="1" t="s">
        <v>216</v>
      </c>
      <c r="D113" s="1" t="s">
        <v>38</v>
      </c>
      <c r="E113" s="11">
        <v>45597</v>
      </c>
      <c r="F113" s="1">
        <v>57155</v>
      </c>
      <c r="G113" s="1">
        <v>637</v>
      </c>
      <c r="H113" s="1">
        <v>383</v>
      </c>
      <c r="I113" s="1">
        <v>52</v>
      </c>
      <c r="J113" s="1">
        <v>42</v>
      </c>
      <c r="K113" s="1">
        <v>1031</v>
      </c>
      <c r="L113" s="1">
        <v>1801</v>
      </c>
      <c r="M113" s="2">
        <v>8.345726533111714E-3</v>
      </c>
      <c r="N113" s="1">
        <v>11</v>
      </c>
      <c r="O113" s="1">
        <v>24</v>
      </c>
      <c r="P113" s="1">
        <v>37</v>
      </c>
      <c r="Q113" s="1">
        <v>99</v>
      </c>
      <c r="R113" s="1">
        <v>2</v>
      </c>
      <c r="S113" s="4">
        <v>16</v>
      </c>
      <c r="T113" s="1" t="s">
        <v>790</v>
      </c>
    </row>
    <row r="114" spans="1:20" x14ac:dyDescent="0.3">
      <c r="A114" s="3">
        <v>6328</v>
      </c>
      <c r="B114" s="1" t="s">
        <v>217</v>
      </c>
      <c r="C114" s="1" t="s">
        <v>218</v>
      </c>
      <c r="D114" s="1" t="s">
        <v>20</v>
      </c>
      <c r="E114" s="11">
        <v>45392</v>
      </c>
      <c r="F114" s="1">
        <v>28443</v>
      </c>
      <c r="G114" s="1">
        <v>297</v>
      </c>
      <c r="H114" s="1">
        <v>2740</v>
      </c>
      <c r="I114" s="1">
        <v>354</v>
      </c>
      <c r="J114" s="1">
        <v>806</v>
      </c>
      <c r="K114" s="1">
        <v>9437</v>
      </c>
      <c r="L114" s="1">
        <v>20232</v>
      </c>
      <c r="M114" s="2">
        <v>0.13711633793903596</v>
      </c>
      <c r="N114" s="1">
        <v>10</v>
      </c>
      <c r="O114" s="1">
        <v>0</v>
      </c>
      <c r="P114" s="1">
        <v>161</v>
      </c>
      <c r="Q114" s="1">
        <v>472</v>
      </c>
      <c r="R114" s="1">
        <v>46</v>
      </c>
      <c r="S114" s="4">
        <v>10</v>
      </c>
      <c r="T114" s="1" t="s">
        <v>783</v>
      </c>
    </row>
    <row r="115" spans="1:20" x14ac:dyDescent="0.3">
      <c r="A115" s="3">
        <v>9522</v>
      </c>
      <c r="B115" s="1" t="s">
        <v>219</v>
      </c>
      <c r="C115" s="1" t="s">
        <v>220</v>
      </c>
      <c r="D115" s="1" t="s">
        <v>15</v>
      </c>
      <c r="E115" s="11">
        <v>45633</v>
      </c>
      <c r="F115" s="1">
        <v>91840</v>
      </c>
      <c r="G115" s="1">
        <v>1955</v>
      </c>
      <c r="H115" s="1">
        <v>7742</v>
      </c>
      <c r="I115" s="1">
        <v>1378</v>
      </c>
      <c r="J115" s="1">
        <v>1110</v>
      </c>
      <c r="K115" s="1">
        <v>22747</v>
      </c>
      <c r="L115" s="1">
        <v>37726</v>
      </c>
      <c r="M115" s="2">
        <v>0.11138937282229965</v>
      </c>
      <c r="N115" s="1">
        <v>20</v>
      </c>
      <c r="O115" s="1">
        <v>0</v>
      </c>
      <c r="P115" s="1">
        <v>372</v>
      </c>
      <c r="Q115" s="1">
        <v>1285</v>
      </c>
      <c r="R115" s="1">
        <v>0</v>
      </c>
      <c r="S115" s="4">
        <v>19</v>
      </c>
      <c r="T115" s="1" t="s">
        <v>795</v>
      </c>
    </row>
    <row r="116" spans="1:20" x14ac:dyDescent="0.3">
      <c r="A116" s="3">
        <v>1325</v>
      </c>
      <c r="B116" s="1" t="s">
        <v>221</v>
      </c>
      <c r="C116" s="1" t="s">
        <v>222</v>
      </c>
      <c r="D116" s="1" t="s">
        <v>15</v>
      </c>
      <c r="E116" s="11">
        <v>45578</v>
      </c>
      <c r="F116" s="1">
        <v>453670</v>
      </c>
      <c r="G116" s="1">
        <v>575</v>
      </c>
      <c r="H116" s="1">
        <v>60324</v>
      </c>
      <c r="I116" s="1">
        <v>9845</v>
      </c>
      <c r="J116" s="1">
        <v>3125</v>
      </c>
      <c r="K116" s="1">
        <v>260462</v>
      </c>
      <c r="L116" s="1">
        <v>315446</v>
      </c>
      <c r="M116" s="2">
        <v>0.16155796063217756</v>
      </c>
      <c r="N116" s="1">
        <v>25</v>
      </c>
      <c r="O116" s="1">
        <v>0</v>
      </c>
      <c r="P116" s="1">
        <v>1246</v>
      </c>
      <c r="Q116" s="1">
        <v>35082</v>
      </c>
      <c r="R116" s="1">
        <v>0</v>
      </c>
      <c r="S116" s="4">
        <v>10</v>
      </c>
      <c r="T116" s="1" t="s">
        <v>783</v>
      </c>
    </row>
    <row r="117" spans="1:20" x14ac:dyDescent="0.3">
      <c r="A117" s="3">
        <v>8423</v>
      </c>
      <c r="B117" s="1" t="s">
        <v>223</v>
      </c>
      <c r="C117" s="1" t="s">
        <v>224</v>
      </c>
      <c r="D117" s="1" t="s">
        <v>38</v>
      </c>
      <c r="E117" s="11">
        <v>45300</v>
      </c>
      <c r="F117" s="1">
        <v>306507</v>
      </c>
      <c r="G117" s="1">
        <v>340</v>
      </c>
      <c r="H117" s="1">
        <v>34850</v>
      </c>
      <c r="I117" s="1">
        <v>6915</v>
      </c>
      <c r="J117" s="1">
        <v>6086</v>
      </c>
      <c r="K117" s="1">
        <v>36747</v>
      </c>
      <c r="L117" s="1">
        <v>86165</v>
      </c>
      <c r="M117" s="2">
        <v>0.15611715229994746</v>
      </c>
      <c r="N117" s="1">
        <v>13</v>
      </c>
      <c r="O117" s="1">
        <v>42</v>
      </c>
      <c r="P117" s="1">
        <v>1573</v>
      </c>
      <c r="Q117" s="1">
        <v>5652</v>
      </c>
      <c r="R117" s="1">
        <v>0</v>
      </c>
      <c r="S117" s="4">
        <v>21</v>
      </c>
      <c r="T117" s="1" t="s">
        <v>799</v>
      </c>
    </row>
    <row r="118" spans="1:20" x14ac:dyDescent="0.3">
      <c r="A118" s="3">
        <v>6637</v>
      </c>
      <c r="B118" s="1" t="s">
        <v>225</v>
      </c>
      <c r="C118" s="1" t="s">
        <v>226</v>
      </c>
      <c r="D118" s="1" t="s">
        <v>15</v>
      </c>
      <c r="E118" s="11">
        <v>45313</v>
      </c>
      <c r="F118" s="1">
        <v>389532</v>
      </c>
      <c r="G118" s="1">
        <v>311</v>
      </c>
      <c r="H118" s="1">
        <v>952</v>
      </c>
      <c r="I118" s="1">
        <v>186</v>
      </c>
      <c r="J118" s="1">
        <v>220</v>
      </c>
      <c r="K118" s="1">
        <v>1490</v>
      </c>
      <c r="L118" s="1">
        <v>7367</v>
      </c>
      <c r="M118" s="2">
        <v>3.4862347637678033E-3</v>
      </c>
      <c r="N118" s="1">
        <v>5</v>
      </c>
      <c r="O118" s="1">
        <v>0</v>
      </c>
      <c r="P118" s="1">
        <v>42</v>
      </c>
      <c r="Q118" s="1">
        <v>137</v>
      </c>
      <c r="R118" s="1">
        <v>0</v>
      </c>
      <c r="S118" s="4">
        <v>22</v>
      </c>
      <c r="T118" s="1" t="s">
        <v>784</v>
      </c>
    </row>
    <row r="119" spans="1:20" x14ac:dyDescent="0.3">
      <c r="A119" s="3">
        <v>2221</v>
      </c>
      <c r="B119" s="1" t="s">
        <v>227</v>
      </c>
      <c r="C119" s="1" t="s">
        <v>228</v>
      </c>
      <c r="D119" s="1" t="s">
        <v>38</v>
      </c>
      <c r="E119" s="11">
        <v>45341</v>
      </c>
      <c r="F119" s="1">
        <v>137257</v>
      </c>
      <c r="G119" s="1">
        <v>1736</v>
      </c>
      <c r="H119" s="1">
        <v>18434</v>
      </c>
      <c r="I119" s="1">
        <v>2734</v>
      </c>
      <c r="J119" s="1">
        <v>5062</v>
      </c>
      <c r="K119" s="1">
        <v>65702</v>
      </c>
      <c r="L119" s="1">
        <v>125828</v>
      </c>
      <c r="M119" s="2">
        <v>0.19110136459342694</v>
      </c>
      <c r="N119" s="1">
        <v>5</v>
      </c>
      <c r="O119" s="1">
        <v>38</v>
      </c>
      <c r="P119" s="1">
        <v>1433</v>
      </c>
      <c r="Q119" s="1">
        <v>6502</v>
      </c>
      <c r="R119" s="1">
        <v>0</v>
      </c>
      <c r="S119" s="4">
        <v>23</v>
      </c>
      <c r="T119" s="1" t="s">
        <v>786</v>
      </c>
    </row>
    <row r="120" spans="1:20" x14ac:dyDescent="0.3">
      <c r="A120" s="3">
        <v>8855</v>
      </c>
      <c r="B120" s="1" t="s">
        <v>229</v>
      </c>
      <c r="C120" s="1" t="s">
        <v>230</v>
      </c>
      <c r="D120" s="1" t="s">
        <v>15</v>
      </c>
      <c r="E120" s="11">
        <v>45618</v>
      </c>
      <c r="F120" s="1">
        <v>343441</v>
      </c>
      <c r="G120" s="1">
        <v>889</v>
      </c>
      <c r="H120" s="1">
        <v>29998</v>
      </c>
      <c r="I120" s="1">
        <v>3946</v>
      </c>
      <c r="J120" s="1">
        <v>4091</v>
      </c>
      <c r="K120" s="1">
        <v>68976</v>
      </c>
      <c r="L120" s="1">
        <v>165672</v>
      </c>
      <c r="M120" s="2">
        <v>0.11074682405420436</v>
      </c>
      <c r="N120" s="1">
        <v>16</v>
      </c>
      <c r="O120" s="1">
        <v>0</v>
      </c>
      <c r="P120" s="1">
        <v>1647</v>
      </c>
      <c r="Q120" s="1">
        <v>6852</v>
      </c>
      <c r="R120" s="1">
        <v>0</v>
      </c>
      <c r="S120" s="4">
        <v>10</v>
      </c>
      <c r="T120" s="1" t="s">
        <v>783</v>
      </c>
    </row>
    <row r="121" spans="1:20" x14ac:dyDescent="0.3">
      <c r="A121" s="3">
        <v>9097</v>
      </c>
      <c r="B121" s="1" t="s">
        <v>231</v>
      </c>
      <c r="C121" s="1" t="s">
        <v>232</v>
      </c>
      <c r="D121" s="1" t="s">
        <v>15</v>
      </c>
      <c r="E121" s="11">
        <v>45294</v>
      </c>
      <c r="F121" s="1">
        <v>383935</v>
      </c>
      <c r="G121" s="1">
        <v>1873</v>
      </c>
      <c r="H121" s="1">
        <v>21533</v>
      </c>
      <c r="I121" s="1">
        <v>1311</v>
      </c>
      <c r="J121" s="1">
        <v>1295</v>
      </c>
      <c r="K121" s="1">
        <v>91465</v>
      </c>
      <c r="L121" s="1">
        <v>69786</v>
      </c>
      <c r="M121" s="2">
        <v>6.2872621667730208E-2</v>
      </c>
      <c r="N121" s="1">
        <v>3</v>
      </c>
      <c r="O121" s="1">
        <v>0</v>
      </c>
      <c r="P121" s="1">
        <v>1713</v>
      </c>
      <c r="Q121" s="1">
        <v>11548</v>
      </c>
      <c r="R121" s="1">
        <v>754</v>
      </c>
      <c r="S121" s="4">
        <v>14</v>
      </c>
      <c r="T121" s="1" t="s">
        <v>788</v>
      </c>
    </row>
    <row r="122" spans="1:20" x14ac:dyDescent="0.3">
      <c r="A122" s="3">
        <v>3929</v>
      </c>
      <c r="B122" s="1" t="s">
        <v>233</v>
      </c>
      <c r="C122" s="1" t="s">
        <v>234</v>
      </c>
      <c r="D122" s="1" t="s">
        <v>20</v>
      </c>
      <c r="E122" s="11">
        <v>45407</v>
      </c>
      <c r="F122" s="1">
        <v>197551</v>
      </c>
      <c r="G122" s="1">
        <v>1978</v>
      </c>
      <c r="H122" s="1">
        <v>7493</v>
      </c>
      <c r="I122" s="1">
        <v>212</v>
      </c>
      <c r="J122" s="1">
        <v>980</v>
      </c>
      <c r="K122" s="1">
        <v>21008</v>
      </c>
      <c r="L122" s="1">
        <v>45191</v>
      </c>
      <c r="M122" s="2">
        <v>4.3963330987947413E-2</v>
      </c>
      <c r="N122" s="1">
        <v>14</v>
      </c>
      <c r="O122" s="1">
        <v>0</v>
      </c>
      <c r="P122" s="1">
        <v>389</v>
      </c>
      <c r="Q122" s="1">
        <v>2236</v>
      </c>
      <c r="R122" s="1">
        <v>155</v>
      </c>
      <c r="S122" s="4">
        <v>19</v>
      </c>
      <c r="T122" s="1" t="s">
        <v>795</v>
      </c>
    </row>
    <row r="123" spans="1:20" x14ac:dyDescent="0.3">
      <c r="A123" s="3">
        <v>4143</v>
      </c>
      <c r="B123" s="1" t="s">
        <v>235</v>
      </c>
      <c r="C123" s="1" t="s">
        <v>236</v>
      </c>
      <c r="D123" s="1" t="s">
        <v>38</v>
      </c>
      <c r="E123" s="11">
        <v>45333</v>
      </c>
      <c r="F123" s="1">
        <v>302006</v>
      </c>
      <c r="G123" s="1">
        <v>672</v>
      </c>
      <c r="H123" s="1">
        <v>42086</v>
      </c>
      <c r="I123" s="1">
        <v>2665</v>
      </c>
      <c r="J123" s="1">
        <v>12364</v>
      </c>
      <c r="K123" s="1">
        <v>82857</v>
      </c>
      <c r="L123" s="1">
        <v>131945</v>
      </c>
      <c r="M123" s="2">
        <v>0.18911875922994908</v>
      </c>
      <c r="N123" s="1">
        <v>17</v>
      </c>
      <c r="O123" s="1">
        <v>3</v>
      </c>
      <c r="P123" s="1">
        <v>3628</v>
      </c>
      <c r="Q123" s="1">
        <v>4718</v>
      </c>
      <c r="R123" s="1">
        <v>0</v>
      </c>
      <c r="S123" s="4">
        <v>9</v>
      </c>
      <c r="T123" s="1" t="s">
        <v>798</v>
      </c>
    </row>
    <row r="124" spans="1:20" x14ac:dyDescent="0.3">
      <c r="A124" s="3">
        <v>4386</v>
      </c>
      <c r="B124" s="1" t="s">
        <v>237</v>
      </c>
      <c r="C124" s="1" t="s">
        <v>238</v>
      </c>
      <c r="D124" s="1" t="s">
        <v>20</v>
      </c>
      <c r="E124" s="11">
        <v>45588</v>
      </c>
      <c r="F124" s="1">
        <v>237086</v>
      </c>
      <c r="G124" s="1">
        <v>1201</v>
      </c>
      <c r="H124" s="1">
        <v>33320</v>
      </c>
      <c r="I124" s="1">
        <v>476</v>
      </c>
      <c r="J124" s="1">
        <v>3875</v>
      </c>
      <c r="K124" s="1">
        <v>149250</v>
      </c>
      <c r="L124" s="1">
        <v>73709</v>
      </c>
      <c r="M124" s="2">
        <v>0.15889171018111573</v>
      </c>
      <c r="N124" s="1">
        <v>3</v>
      </c>
      <c r="O124" s="1">
        <v>0</v>
      </c>
      <c r="P124" s="1">
        <v>2630</v>
      </c>
      <c r="Q124" s="1">
        <v>20884</v>
      </c>
      <c r="R124" s="1">
        <v>0</v>
      </c>
      <c r="S124" s="4">
        <v>7</v>
      </c>
      <c r="T124" s="1" t="s">
        <v>794</v>
      </c>
    </row>
    <row r="125" spans="1:20" x14ac:dyDescent="0.3">
      <c r="A125" s="3">
        <v>6236</v>
      </c>
      <c r="B125" s="1" t="s">
        <v>239</v>
      </c>
      <c r="C125" s="1" t="s">
        <v>240</v>
      </c>
      <c r="D125" s="1" t="s">
        <v>38</v>
      </c>
      <c r="E125" s="11">
        <v>45388</v>
      </c>
      <c r="F125" s="1">
        <v>110731</v>
      </c>
      <c r="G125" s="1">
        <v>726</v>
      </c>
      <c r="H125" s="1">
        <v>5782</v>
      </c>
      <c r="I125" s="1">
        <v>405</v>
      </c>
      <c r="J125" s="1">
        <v>617</v>
      </c>
      <c r="K125" s="1">
        <v>16146</v>
      </c>
      <c r="L125" s="1">
        <v>26560</v>
      </c>
      <c r="M125" s="2">
        <v>6.1446207475774624E-2</v>
      </c>
      <c r="N125" s="1">
        <v>3</v>
      </c>
      <c r="O125" s="1">
        <v>5</v>
      </c>
      <c r="P125" s="1">
        <v>463</v>
      </c>
      <c r="Q125" s="1">
        <v>1805</v>
      </c>
      <c r="R125" s="1">
        <v>80</v>
      </c>
      <c r="S125" s="4">
        <v>17</v>
      </c>
      <c r="T125" s="1" t="s">
        <v>791</v>
      </c>
    </row>
    <row r="126" spans="1:20" x14ac:dyDescent="0.3">
      <c r="A126" s="3">
        <v>9828</v>
      </c>
      <c r="B126" s="1" t="s">
        <v>207</v>
      </c>
      <c r="C126" s="1" t="s">
        <v>241</v>
      </c>
      <c r="D126" s="1" t="s">
        <v>38</v>
      </c>
      <c r="E126" s="11">
        <v>45342</v>
      </c>
      <c r="F126" s="1">
        <v>388690</v>
      </c>
      <c r="G126" s="1">
        <v>698</v>
      </c>
      <c r="H126" s="1">
        <v>16058</v>
      </c>
      <c r="I126" s="1">
        <v>963</v>
      </c>
      <c r="J126" s="1">
        <v>2393</v>
      </c>
      <c r="K126" s="1">
        <v>78374</v>
      </c>
      <c r="L126" s="1">
        <v>47424</v>
      </c>
      <c r="M126" s="2">
        <v>4.994725874089892E-2</v>
      </c>
      <c r="N126" s="1">
        <v>3</v>
      </c>
      <c r="O126" s="1">
        <v>8</v>
      </c>
      <c r="P126" s="1">
        <v>433</v>
      </c>
      <c r="Q126" s="1">
        <v>8033</v>
      </c>
      <c r="R126" s="1">
        <v>0</v>
      </c>
      <c r="S126" s="4">
        <v>21</v>
      </c>
      <c r="T126" s="1" t="s">
        <v>799</v>
      </c>
    </row>
    <row r="127" spans="1:20" x14ac:dyDescent="0.3">
      <c r="A127" s="3">
        <v>7442</v>
      </c>
      <c r="B127" s="1" t="s">
        <v>242</v>
      </c>
      <c r="C127" s="1" t="s">
        <v>243</v>
      </c>
      <c r="D127" s="1" t="s">
        <v>38</v>
      </c>
      <c r="E127" s="11">
        <v>45535</v>
      </c>
      <c r="F127" s="1">
        <v>385066</v>
      </c>
      <c r="G127" s="1">
        <v>1025</v>
      </c>
      <c r="H127" s="1">
        <v>24882</v>
      </c>
      <c r="I127" s="1">
        <v>197</v>
      </c>
      <c r="J127" s="1">
        <v>5729</v>
      </c>
      <c r="K127" s="1">
        <v>71685</v>
      </c>
      <c r="L127" s="1">
        <v>137213</v>
      </c>
      <c r="M127" s="2">
        <v>8.0007063724140792E-2</v>
      </c>
      <c r="N127" s="1">
        <v>6</v>
      </c>
      <c r="O127" s="1">
        <v>9</v>
      </c>
      <c r="P127" s="1">
        <v>995</v>
      </c>
      <c r="Q127" s="1">
        <v>13470</v>
      </c>
      <c r="R127" s="1">
        <v>0</v>
      </c>
      <c r="S127" s="4">
        <v>7</v>
      </c>
      <c r="T127" s="1" t="s">
        <v>794</v>
      </c>
    </row>
    <row r="128" spans="1:20" x14ac:dyDescent="0.3">
      <c r="A128" s="3">
        <v>9708</v>
      </c>
      <c r="B128" s="1" t="s">
        <v>244</v>
      </c>
      <c r="C128" s="1" t="s">
        <v>245</v>
      </c>
      <c r="D128" s="1" t="s">
        <v>15</v>
      </c>
      <c r="E128" s="11">
        <v>45413</v>
      </c>
      <c r="F128" s="1">
        <v>249080</v>
      </c>
      <c r="G128" s="1">
        <v>1458</v>
      </c>
      <c r="H128" s="1">
        <v>33264</v>
      </c>
      <c r="I128" s="1">
        <v>411</v>
      </c>
      <c r="J128" s="1">
        <v>4899</v>
      </c>
      <c r="K128" s="1">
        <v>153661</v>
      </c>
      <c r="L128" s="1">
        <v>207907</v>
      </c>
      <c r="M128" s="2">
        <v>0.15486590653605267</v>
      </c>
      <c r="N128" s="1">
        <v>15</v>
      </c>
      <c r="O128" s="1">
        <v>0</v>
      </c>
      <c r="P128" s="1">
        <v>902</v>
      </c>
      <c r="Q128" s="1">
        <v>10875</v>
      </c>
      <c r="R128" s="1">
        <v>129</v>
      </c>
      <c r="S128" s="4">
        <v>6</v>
      </c>
      <c r="T128" s="1" t="s">
        <v>792</v>
      </c>
    </row>
    <row r="129" spans="1:20" x14ac:dyDescent="0.3">
      <c r="A129" s="3">
        <v>7119</v>
      </c>
      <c r="B129" s="1" t="s">
        <v>246</v>
      </c>
      <c r="C129" s="1" t="s">
        <v>247</v>
      </c>
      <c r="D129" s="1" t="s">
        <v>15</v>
      </c>
      <c r="E129" s="11">
        <v>45387</v>
      </c>
      <c r="F129" s="1">
        <v>74264</v>
      </c>
      <c r="G129" s="1">
        <v>1608</v>
      </c>
      <c r="H129" s="1">
        <v>7874</v>
      </c>
      <c r="I129" s="1">
        <v>771</v>
      </c>
      <c r="J129" s="1">
        <v>1950</v>
      </c>
      <c r="K129" s="1">
        <v>34537</v>
      </c>
      <c r="L129" s="1">
        <v>57814</v>
      </c>
      <c r="M129" s="2">
        <v>0.14266670257459874</v>
      </c>
      <c r="N129" s="1">
        <v>19</v>
      </c>
      <c r="O129" s="1">
        <v>0</v>
      </c>
      <c r="P129" s="1">
        <v>504</v>
      </c>
      <c r="Q129" s="1">
        <v>4765</v>
      </c>
      <c r="R129" s="1">
        <v>251</v>
      </c>
      <c r="S129" s="4">
        <v>23</v>
      </c>
      <c r="T129" s="1" t="s">
        <v>786</v>
      </c>
    </row>
    <row r="130" spans="1:20" x14ac:dyDescent="0.3">
      <c r="A130" s="3">
        <v>9014</v>
      </c>
      <c r="B130" s="1" t="s">
        <v>178</v>
      </c>
      <c r="C130" s="1" t="s">
        <v>248</v>
      </c>
      <c r="D130" s="1" t="s">
        <v>15</v>
      </c>
      <c r="E130" s="11">
        <v>45341</v>
      </c>
      <c r="F130" s="1">
        <v>63269</v>
      </c>
      <c r="G130" s="1">
        <v>381</v>
      </c>
      <c r="H130" s="1">
        <v>8106</v>
      </c>
      <c r="I130" s="1">
        <v>1619</v>
      </c>
      <c r="J130" s="1">
        <v>32</v>
      </c>
      <c r="K130" s="1">
        <v>25218</v>
      </c>
      <c r="L130" s="1">
        <v>27131</v>
      </c>
      <c r="M130" s="2">
        <v>0.1542145442475778</v>
      </c>
      <c r="N130" s="1">
        <v>7</v>
      </c>
      <c r="O130" s="1">
        <v>0</v>
      </c>
      <c r="P130" s="1">
        <v>725</v>
      </c>
      <c r="Q130" s="1">
        <v>1769</v>
      </c>
      <c r="R130" s="1">
        <v>0</v>
      </c>
      <c r="S130" s="4">
        <v>21</v>
      </c>
      <c r="T130" s="1" t="s">
        <v>799</v>
      </c>
    </row>
    <row r="131" spans="1:20" x14ac:dyDescent="0.3">
      <c r="A131" s="3">
        <v>6207</v>
      </c>
      <c r="B131" s="1" t="s">
        <v>178</v>
      </c>
      <c r="C131" s="1" t="s">
        <v>249</v>
      </c>
      <c r="D131" s="1" t="s">
        <v>38</v>
      </c>
      <c r="E131" s="11">
        <v>45547</v>
      </c>
      <c r="F131" s="1">
        <v>151168</v>
      </c>
      <c r="G131" s="1">
        <v>1718</v>
      </c>
      <c r="H131" s="1">
        <v>20757</v>
      </c>
      <c r="I131" s="1">
        <v>1752</v>
      </c>
      <c r="J131" s="1">
        <v>2998</v>
      </c>
      <c r="K131" s="1">
        <v>62430</v>
      </c>
      <c r="L131" s="1">
        <v>73656</v>
      </c>
      <c r="M131" s="2">
        <v>0.16873280059271803</v>
      </c>
      <c r="N131" s="1">
        <v>22</v>
      </c>
      <c r="O131" s="1">
        <v>35</v>
      </c>
      <c r="P131" s="1">
        <v>1354</v>
      </c>
      <c r="Q131" s="1">
        <v>3339</v>
      </c>
      <c r="R131" s="1">
        <v>0</v>
      </c>
      <c r="S131" s="4">
        <v>20</v>
      </c>
      <c r="T131" s="1" t="s">
        <v>797</v>
      </c>
    </row>
    <row r="132" spans="1:20" x14ac:dyDescent="0.3">
      <c r="A132" s="3">
        <v>3880</v>
      </c>
      <c r="B132" s="1" t="s">
        <v>250</v>
      </c>
      <c r="C132" s="1" t="s">
        <v>251</v>
      </c>
      <c r="D132" s="1" t="s">
        <v>15</v>
      </c>
      <c r="E132" s="11">
        <v>45356</v>
      </c>
      <c r="F132" s="1">
        <v>69296</v>
      </c>
      <c r="G132" s="1">
        <v>1967</v>
      </c>
      <c r="H132" s="1">
        <v>4732</v>
      </c>
      <c r="I132" s="1">
        <v>571</v>
      </c>
      <c r="J132" s="1">
        <v>925</v>
      </c>
      <c r="K132" s="1">
        <v>10045</v>
      </c>
      <c r="L132" s="1">
        <v>14757</v>
      </c>
      <c r="M132" s="2">
        <v>8.9875317478642344E-2</v>
      </c>
      <c r="N132" s="1">
        <v>8</v>
      </c>
      <c r="O132" s="1">
        <v>0</v>
      </c>
      <c r="P132" s="1">
        <v>161</v>
      </c>
      <c r="Q132" s="1">
        <v>1574</v>
      </c>
      <c r="R132" s="1">
        <v>0</v>
      </c>
      <c r="S132" s="4">
        <v>7</v>
      </c>
      <c r="T132" s="1" t="s">
        <v>794</v>
      </c>
    </row>
    <row r="133" spans="1:20" x14ac:dyDescent="0.3">
      <c r="A133" s="3">
        <v>2750</v>
      </c>
      <c r="B133" s="1" t="s">
        <v>252</v>
      </c>
      <c r="C133" s="1" t="s">
        <v>253</v>
      </c>
      <c r="D133" s="1" t="s">
        <v>38</v>
      </c>
      <c r="E133" s="11">
        <v>45629</v>
      </c>
      <c r="F133" s="1">
        <v>216987</v>
      </c>
      <c r="G133" s="1">
        <v>932</v>
      </c>
      <c r="H133" s="1">
        <v>8494</v>
      </c>
      <c r="I133" s="1">
        <v>1586</v>
      </c>
      <c r="J133" s="1">
        <v>1140</v>
      </c>
      <c r="K133" s="1">
        <v>24099</v>
      </c>
      <c r="L133" s="1">
        <v>55442</v>
      </c>
      <c r="M133" s="2">
        <v>5.1708166848705224E-2</v>
      </c>
      <c r="N133" s="1">
        <v>25</v>
      </c>
      <c r="O133" s="1">
        <v>16</v>
      </c>
      <c r="P133" s="1">
        <v>571</v>
      </c>
      <c r="Q133" s="1">
        <v>1968</v>
      </c>
      <c r="R133" s="1">
        <v>0</v>
      </c>
      <c r="S133" s="4">
        <v>10</v>
      </c>
      <c r="T133" s="1" t="s">
        <v>783</v>
      </c>
    </row>
    <row r="134" spans="1:20" x14ac:dyDescent="0.3">
      <c r="A134" s="3">
        <v>5547</v>
      </c>
      <c r="B134" s="1" t="s">
        <v>254</v>
      </c>
      <c r="C134" s="1" t="s">
        <v>255</v>
      </c>
      <c r="D134" s="1" t="s">
        <v>20</v>
      </c>
      <c r="E134" s="11">
        <v>45608</v>
      </c>
      <c r="F134" s="1">
        <v>121161</v>
      </c>
      <c r="G134" s="1">
        <v>1388</v>
      </c>
      <c r="H134" s="1">
        <v>11035</v>
      </c>
      <c r="I134" s="1">
        <v>157</v>
      </c>
      <c r="J134" s="1">
        <v>2646</v>
      </c>
      <c r="K134" s="1">
        <v>33742</v>
      </c>
      <c r="L134" s="1">
        <v>64301</v>
      </c>
      <c r="M134" s="2">
        <v>0.1142116687713043</v>
      </c>
      <c r="N134" s="1">
        <v>23</v>
      </c>
      <c r="O134" s="1">
        <v>0</v>
      </c>
      <c r="P134" s="1">
        <v>1015</v>
      </c>
      <c r="Q134" s="1">
        <v>4958</v>
      </c>
      <c r="R134" s="1">
        <v>0</v>
      </c>
      <c r="S134" s="4">
        <v>7</v>
      </c>
      <c r="T134" s="1" t="s">
        <v>794</v>
      </c>
    </row>
    <row r="135" spans="1:20" x14ac:dyDescent="0.3">
      <c r="A135" s="3">
        <v>7122</v>
      </c>
      <c r="B135" s="1" t="s">
        <v>107</v>
      </c>
      <c r="C135" s="1" t="s">
        <v>256</v>
      </c>
      <c r="D135" s="1" t="s">
        <v>15</v>
      </c>
      <c r="E135" s="11">
        <v>45364</v>
      </c>
      <c r="F135" s="1">
        <v>60764</v>
      </c>
      <c r="G135" s="1">
        <v>1459</v>
      </c>
      <c r="H135" s="1">
        <v>2513</v>
      </c>
      <c r="I135" s="1">
        <v>132</v>
      </c>
      <c r="J135" s="1">
        <v>51</v>
      </c>
      <c r="K135" s="1">
        <v>10921</v>
      </c>
      <c r="L135" s="1">
        <v>14103</v>
      </c>
      <c r="M135" s="2">
        <v>4.4368376012112437E-2</v>
      </c>
      <c r="N135" s="1">
        <v>8</v>
      </c>
      <c r="O135" s="1">
        <v>0</v>
      </c>
      <c r="P135" s="1">
        <v>163</v>
      </c>
      <c r="Q135" s="1">
        <v>1704</v>
      </c>
      <c r="R135" s="1">
        <v>114</v>
      </c>
      <c r="S135" s="4">
        <v>9</v>
      </c>
      <c r="T135" s="1" t="s">
        <v>798</v>
      </c>
    </row>
    <row r="136" spans="1:20" x14ac:dyDescent="0.3">
      <c r="A136" s="3">
        <v>6664</v>
      </c>
      <c r="B136" s="1" t="s">
        <v>254</v>
      </c>
      <c r="C136" s="1" t="s">
        <v>257</v>
      </c>
      <c r="D136" s="1" t="s">
        <v>38</v>
      </c>
      <c r="E136" s="11">
        <v>45473</v>
      </c>
      <c r="F136" s="1">
        <v>262037</v>
      </c>
      <c r="G136" s="1">
        <v>1215</v>
      </c>
      <c r="H136" s="1">
        <v>14043</v>
      </c>
      <c r="I136" s="1">
        <v>2544</v>
      </c>
      <c r="J136" s="1">
        <v>4202</v>
      </c>
      <c r="K136" s="1">
        <v>60783</v>
      </c>
      <c r="L136" s="1">
        <v>85398</v>
      </c>
      <c r="M136" s="2">
        <v>7.9336124287791424E-2</v>
      </c>
      <c r="N136" s="1">
        <v>19</v>
      </c>
      <c r="O136" s="1">
        <v>11</v>
      </c>
      <c r="P136" s="1">
        <v>512</v>
      </c>
      <c r="Q136" s="1">
        <v>7699</v>
      </c>
      <c r="R136" s="1">
        <v>613</v>
      </c>
      <c r="S136" s="4">
        <v>14</v>
      </c>
      <c r="T136" s="1" t="s">
        <v>788</v>
      </c>
    </row>
    <row r="137" spans="1:20" x14ac:dyDescent="0.3">
      <c r="A137" s="3">
        <v>9685</v>
      </c>
      <c r="B137" s="1" t="s">
        <v>145</v>
      </c>
      <c r="C137" s="1" t="s">
        <v>258</v>
      </c>
      <c r="D137" s="1" t="s">
        <v>38</v>
      </c>
      <c r="E137" s="11">
        <v>45643</v>
      </c>
      <c r="F137" s="1">
        <v>240609</v>
      </c>
      <c r="G137" s="1">
        <v>1983</v>
      </c>
      <c r="H137" s="1">
        <v>24655</v>
      </c>
      <c r="I137" s="1">
        <v>2279</v>
      </c>
      <c r="J137" s="1">
        <v>7035</v>
      </c>
      <c r="K137" s="1">
        <v>50014</v>
      </c>
      <c r="L137" s="1">
        <v>65000</v>
      </c>
      <c r="M137" s="2">
        <v>0.14117925763375436</v>
      </c>
      <c r="N137" s="1">
        <v>18</v>
      </c>
      <c r="O137" s="1">
        <v>44</v>
      </c>
      <c r="P137" s="1">
        <v>837</v>
      </c>
      <c r="Q137" s="1">
        <v>4109</v>
      </c>
      <c r="R137" s="1">
        <v>0</v>
      </c>
      <c r="S137" s="4">
        <v>16</v>
      </c>
      <c r="T137" s="1" t="s">
        <v>790</v>
      </c>
    </row>
    <row r="138" spans="1:20" x14ac:dyDescent="0.3">
      <c r="A138" s="3">
        <v>9877</v>
      </c>
      <c r="B138" s="1" t="s">
        <v>153</v>
      </c>
      <c r="C138" s="1" t="s">
        <v>259</v>
      </c>
      <c r="D138" s="1" t="s">
        <v>15</v>
      </c>
      <c r="E138" s="11">
        <v>45411</v>
      </c>
      <c r="F138" s="1">
        <v>454048</v>
      </c>
      <c r="G138" s="1">
        <v>673</v>
      </c>
      <c r="H138" s="1">
        <v>43094</v>
      </c>
      <c r="I138" s="1">
        <v>7448</v>
      </c>
      <c r="J138" s="1">
        <v>7828</v>
      </c>
      <c r="K138" s="1">
        <v>120489</v>
      </c>
      <c r="L138" s="1">
        <v>233230</v>
      </c>
      <c r="M138" s="2">
        <v>0.12855469025301289</v>
      </c>
      <c r="N138" s="1">
        <v>24</v>
      </c>
      <c r="O138" s="1">
        <v>0</v>
      </c>
      <c r="P138" s="1">
        <v>1615</v>
      </c>
      <c r="Q138" s="1">
        <v>10743</v>
      </c>
      <c r="R138" s="1">
        <v>0</v>
      </c>
      <c r="S138" s="4">
        <v>20</v>
      </c>
      <c r="T138" s="1" t="s">
        <v>797</v>
      </c>
    </row>
    <row r="139" spans="1:20" x14ac:dyDescent="0.3">
      <c r="A139" s="3">
        <v>6664</v>
      </c>
      <c r="B139" s="1" t="s">
        <v>260</v>
      </c>
      <c r="C139" s="1" t="s">
        <v>261</v>
      </c>
      <c r="D139" s="1" t="s">
        <v>38</v>
      </c>
      <c r="E139" s="11">
        <v>45636</v>
      </c>
      <c r="F139" s="1">
        <v>63774</v>
      </c>
      <c r="G139" s="1">
        <v>1599</v>
      </c>
      <c r="H139" s="1">
        <v>3117</v>
      </c>
      <c r="I139" s="1">
        <v>182</v>
      </c>
      <c r="J139" s="1">
        <v>109</v>
      </c>
      <c r="K139" s="1">
        <v>7600</v>
      </c>
      <c r="L139" s="1">
        <v>15824</v>
      </c>
      <c r="M139" s="2">
        <v>5.343870542854455E-2</v>
      </c>
      <c r="N139" s="1">
        <v>23</v>
      </c>
      <c r="O139" s="1">
        <v>21</v>
      </c>
      <c r="P139" s="1">
        <v>235</v>
      </c>
      <c r="Q139" s="1">
        <v>469</v>
      </c>
      <c r="R139" s="1">
        <v>0</v>
      </c>
      <c r="S139" s="4">
        <v>23</v>
      </c>
      <c r="T139" s="1" t="s">
        <v>786</v>
      </c>
    </row>
    <row r="140" spans="1:20" x14ac:dyDescent="0.3">
      <c r="A140" s="3">
        <v>1672</v>
      </c>
      <c r="B140" s="1" t="s">
        <v>128</v>
      </c>
      <c r="C140" s="1" t="s">
        <v>262</v>
      </c>
      <c r="D140" s="1" t="s">
        <v>20</v>
      </c>
      <c r="E140" s="11">
        <v>45540</v>
      </c>
      <c r="F140" s="1">
        <v>268215</v>
      </c>
      <c r="G140" s="1">
        <v>534</v>
      </c>
      <c r="H140" s="1">
        <v>21199</v>
      </c>
      <c r="I140" s="1">
        <v>3676</v>
      </c>
      <c r="J140" s="1">
        <v>2510</v>
      </c>
      <c r="K140" s="1">
        <v>24167</v>
      </c>
      <c r="L140" s="1">
        <v>60166</v>
      </c>
      <c r="M140" s="2">
        <v>0.1021009264955353</v>
      </c>
      <c r="N140" s="1">
        <v>8</v>
      </c>
      <c r="O140" s="1">
        <v>0</v>
      </c>
      <c r="P140" s="1">
        <v>1921</v>
      </c>
      <c r="Q140" s="1">
        <v>4609</v>
      </c>
      <c r="R140" s="1">
        <v>109</v>
      </c>
      <c r="S140" s="4">
        <v>18</v>
      </c>
      <c r="T140" s="1" t="s">
        <v>793</v>
      </c>
    </row>
    <row r="141" spans="1:20" x14ac:dyDescent="0.3">
      <c r="A141" s="3">
        <v>9010</v>
      </c>
      <c r="B141" s="1" t="s">
        <v>263</v>
      </c>
      <c r="C141" s="1" t="s">
        <v>264</v>
      </c>
      <c r="D141" s="1" t="s">
        <v>15</v>
      </c>
      <c r="E141" s="11">
        <v>45365</v>
      </c>
      <c r="F141" s="1">
        <v>450186</v>
      </c>
      <c r="G141" s="1">
        <v>1752</v>
      </c>
      <c r="H141" s="1">
        <v>18325</v>
      </c>
      <c r="I141" s="1">
        <v>2612</v>
      </c>
      <c r="J141" s="1">
        <v>5052</v>
      </c>
      <c r="K141" s="1">
        <v>30585</v>
      </c>
      <c r="L141" s="1">
        <v>122227</v>
      </c>
      <c r="M141" s="2">
        <v>5.7729471818315094E-2</v>
      </c>
      <c r="N141" s="1">
        <v>6</v>
      </c>
      <c r="O141" s="1">
        <v>0</v>
      </c>
      <c r="P141" s="1">
        <v>521</v>
      </c>
      <c r="Q141" s="1">
        <v>5683</v>
      </c>
      <c r="R141" s="1">
        <v>0</v>
      </c>
      <c r="S141" s="4">
        <v>22</v>
      </c>
      <c r="T141" s="1" t="s">
        <v>784</v>
      </c>
    </row>
    <row r="142" spans="1:20" x14ac:dyDescent="0.3">
      <c r="A142" s="3">
        <v>5149</v>
      </c>
      <c r="B142" s="1" t="s">
        <v>265</v>
      </c>
      <c r="C142" s="1" t="s">
        <v>266</v>
      </c>
      <c r="D142" s="1" t="s">
        <v>15</v>
      </c>
      <c r="E142" s="11">
        <v>45538</v>
      </c>
      <c r="F142" s="1">
        <v>320774</v>
      </c>
      <c r="G142" s="1">
        <v>1556</v>
      </c>
      <c r="H142" s="1">
        <v>40891</v>
      </c>
      <c r="I142" s="1">
        <v>3415</v>
      </c>
      <c r="J142" s="1">
        <v>6336</v>
      </c>
      <c r="K142" s="1">
        <v>186784</v>
      </c>
      <c r="L142" s="1">
        <v>133068</v>
      </c>
      <c r="M142" s="2">
        <v>0.15787439131600442</v>
      </c>
      <c r="N142" s="1">
        <v>9</v>
      </c>
      <c r="O142" s="1">
        <v>0</v>
      </c>
      <c r="P142" s="1">
        <v>2965</v>
      </c>
      <c r="Q142" s="1">
        <v>24962</v>
      </c>
      <c r="R142" s="1">
        <v>0</v>
      </c>
      <c r="S142" s="4">
        <v>6</v>
      </c>
      <c r="T142" s="1" t="s">
        <v>792</v>
      </c>
    </row>
    <row r="143" spans="1:20" x14ac:dyDescent="0.3">
      <c r="A143" s="3">
        <v>2569</v>
      </c>
      <c r="B143" s="1" t="s">
        <v>100</v>
      </c>
      <c r="C143" s="1" t="s">
        <v>267</v>
      </c>
      <c r="D143" s="1" t="s">
        <v>38</v>
      </c>
      <c r="E143" s="11">
        <v>45340</v>
      </c>
      <c r="F143" s="1">
        <v>479303</v>
      </c>
      <c r="G143" s="1">
        <v>1007</v>
      </c>
      <c r="H143" s="1">
        <v>7068</v>
      </c>
      <c r="I143" s="1">
        <v>925</v>
      </c>
      <c r="J143" s="1">
        <v>2009</v>
      </c>
      <c r="K143" s="1">
        <v>25559</v>
      </c>
      <c r="L143" s="1">
        <v>45448</v>
      </c>
      <c r="M143" s="2">
        <v>2.0867801787178467E-2</v>
      </c>
      <c r="N143" s="1">
        <v>3</v>
      </c>
      <c r="O143" s="1">
        <v>11</v>
      </c>
      <c r="P143" s="1">
        <v>360</v>
      </c>
      <c r="Q143" s="1">
        <v>4417</v>
      </c>
      <c r="R143" s="1">
        <v>292</v>
      </c>
      <c r="S143" s="4">
        <v>16</v>
      </c>
      <c r="T143" s="1" t="s">
        <v>790</v>
      </c>
    </row>
    <row r="144" spans="1:20" x14ac:dyDescent="0.3">
      <c r="A144" s="3">
        <v>2915</v>
      </c>
      <c r="B144" s="1" t="s">
        <v>67</v>
      </c>
      <c r="C144" s="1" t="s">
        <v>268</v>
      </c>
      <c r="D144" s="1" t="s">
        <v>38</v>
      </c>
      <c r="E144" s="11">
        <v>45471</v>
      </c>
      <c r="F144" s="1">
        <v>352384</v>
      </c>
      <c r="G144" s="1">
        <v>1285</v>
      </c>
      <c r="H144" s="1">
        <v>48411</v>
      </c>
      <c r="I144" s="1">
        <v>5637</v>
      </c>
      <c r="J144" s="1">
        <v>6131</v>
      </c>
      <c r="K144" s="1">
        <v>228697</v>
      </c>
      <c r="L144" s="1">
        <v>160365</v>
      </c>
      <c r="M144" s="2">
        <v>0.17077676625499455</v>
      </c>
      <c r="N144" s="1">
        <v>14</v>
      </c>
      <c r="O144" s="1">
        <v>15</v>
      </c>
      <c r="P144" s="1">
        <v>3841</v>
      </c>
      <c r="Q144" s="1">
        <v>28139</v>
      </c>
      <c r="R144" s="1">
        <v>1086</v>
      </c>
      <c r="S144" s="4">
        <v>7</v>
      </c>
      <c r="T144" s="1" t="s">
        <v>794</v>
      </c>
    </row>
    <row r="145" spans="1:20" x14ac:dyDescent="0.3">
      <c r="A145" s="3">
        <v>4545</v>
      </c>
      <c r="B145" s="1" t="s">
        <v>178</v>
      </c>
      <c r="C145" s="1" t="s">
        <v>269</v>
      </c>
      <c r="D145" s="1" t="s">
        <v>38</v>
      </c>
      <c r="E145" s="11">
        <v>45636</v>
      </c>
      <c r="F145" s="1">
        <v>309888</v>
      </c>
      <c r="G145" s="1">
        <v>1278</v>
      </c>
      <c r="H145" s="1">
        <v>18154</v>
      </c>
      <c r="I145" s="1">
        <v>2504</v>
      </c>
      <c r="J145" s="1">
        <v>4995</v>
      </c>
      <c r="K145" s="1">
        <v>55140</v>
      </c>
      <c r="L145" s="1">
        <v>71903</v>
      </c>
      <c r="M145" s="2">
        <v>8.2781521065675337E-2</v>
      </c>
      <c r="N145" s="1">
        <v>18</v>
      </c>
      <c r="O145" s="1">
        <v>41</v>
      </c>
      <c r="P145" s="1">
        <v>537</v>
      </c>
      <c r="Q145" s="1">
        <v>7928</v>
      </c>
      <c r="R145" s="1">
        <v>0</v>
      </c>
      <c r="S145" s="4">
        <v>9</v>
      </c>
      <c r="T145" s="1" t="s">
        <v>798</v>
      </c>
    </row>
    <row r="146" spans="1:20" x14ac:dyDescent="0.3">
      <c r="A146" s="3">
        <v>1816</v>
      </c>
      <c r="B146" s="1" t="s">
        <v>73</v>
      </c>
      <c r="C146" s="1" t="s">
        <v>270</v>
      </c>
      <c r="D146" s="1" t="s">
        <v>38</v>
      </c>
      <c r="E146" s="11">
        <v>45318</v>
      </c>
      <c r="F146" s="1">
        <v>87656</v>
      </c>
      <c r="G146" s="1">
        <v>110</v>
      </c>
      <c r="H146" s="1">
        <v>2251</v>
      </c>
      <c r="I146" s="1">
        <v>423</v>
      </c>
      <c r="J146" s="1">
        <v>194</v>
      </c>
      <c r="K146" s="1">
        <v>10304</v>
      </c>
      <c r="L146" s="1">
        <v>10529</v>
      </c>
      <c r="M146" s="2">
        <v>3.2718809893218945E-2</v>
      </c>
      <c r="N146" s="1">
        <v>4</v>
      </c>
      <c r="O146" s="1">
        <v>27</v>
      </c>
      <c r="P146" s="1">
        <v>216</v>
      </c>
      <c r="Q146" s="1">
        <v>1810</v>
      </c>
      <c r="R146" s="1">
        <v>99</v>
      </c>
      <c r="S146" s="4">
        <v>16</v>
      </c>
      <c r="T146" s="1" t="s">
        <v>790</v>
      </c>
    </row>
    <row r="147" spans="1:20" x14ac:dyDescent="0.3">
      <c r="A147" s="3">
        <v>8919</v>
      </c>
      <c r="B147" s="1" t="s">
        <v>271</v>
      </c>
      <c r="C147" s="1" t="s">
        <v>272</v>
      </c>
      <c r="D147" s="1" t="s">
        <v>20</v>
      </c>
      <c r="E147" s="11">
        <v>45584</v>
      </c>
      <c r="F147" s="1">
        <v>306825</v>
      </c>
      <c r="G147" s="1">
        <v>1671</v>
      </c>
      <c r="H147" s="1">
        <v>2703</v>
      </c>
      <c r="I147" s="1">
        <v>508</v>
      </c>
      <c r="J147" s="1">
        <v>446</v>
      </c>
      <c r="K147" s="1">
        <v>11057</v>
      </c>
      <c r="L147" s="1">
        <v>14155</v>
      </c>
      <c r="M147" s="2">
        <v>1.1918846247861159E-2</v>
      </c>
      <c r="N147" s="1">
        <v>25</v>
      </c>
      <c r="O147" s="1">
        <v>0</v>
      </c>
      <c r="P147" s="1">
        <v>80</v>
      </c>
      <c r="Q147" s="1">
        <v>2030</v>
      </c>
      <c r="R147" s="1">
        <v>133</v>
      </c>
      <c r="S147" s="4">
        <v>16</v>
      </c>
      <c r="T147" s="1" t="s">
        <v>790</v>
      </c>
    </row>
    <row r="148" spans="1:20" x14ac:dyDescent="0.3">
      <c r="A148" s="3">
        <v>9131</v>
      </c>
      <c r="B148" s="1" t="s">
        <v>273</v>
      </c>
      <c r="C148" s="1" t="s">
        <v>274</v>
      </c>
      <c r="D148" s="1" t="s">
        <v>38</v>
      </c>
      <c r="E148" s="11">
        <v>45476</v>
      </c>
      <c r="F148" s="1">
        <v>16576</v>
      </c>
      <c r="G148" s="1">
        <v>1910</v>
      </c>
      <c r="H148" s="1">
        <v>1394</v>
      </c>
      <c r="I148" s="1">
        <v>11</v>
      </c>
      <c r="J148" s="1">
        <v>262</v>
      </c>
      <c r="K148" s="1">
        <v>1972</v>
      </c>
      <c r="L148" s="1">
        <v>8445</v>
      </c>
      <c r="M148" s="2">
        <v>0.10056708494208494</v>
      </c>
      <c r="N148" s="1">
        <v>19</v>
      </c>
      <c r="O148" s="1">
        <v>16</v>
      </c>
      <c r="P148" s="1">
        <v>104</v>
      </c>
      <c r="Q148" s="1">
        <v>273</v>
      </c>
      <c r="R148" s="1">
        <v>0</v>
      </c>
      <c r="S148" s="4">
        <v>13</v>
      </c>
      <c r="T148" s="1" t="s">
        <v>782</v>
      </c>
    </row>
    <row r="149" spans="1:20" x14ac:dyDescent="0.3">
      <c r="A149" s="3">
        <v>4795</v>
      </c>
      <c r="B149" s="1" t="s">
        <v>250</v>
      </c>
      <c r="C149" s="1" t="s">
        <v>275</v>
      </c>
      <c r="D149" s="1" t="s">
        <v>20</v>
      </c>
      <c r="E149" s="11">
        <v>45582</v>
      </c>
      <c r="F149" s="1">
        <v>55249</v>
      </c>
      <c r="G149" s="1">
        <v>697</v>
      </c>
      <c r="H149" s="1">
        <v>1999</v>
      </c>
      <c r="I149" s="1">
        <v>197</v>
      </c>
      <c r="J149" s="1">
        <v>465</v>
      </c>
      <c r="K149" s="1">
        <v>6182</v>
      </c>
      <c r="L149" s="1">
        <v>6029</v>
      </c>
      <c r="M149" s="2">
        <v>4.8163767670003077E-2</v>
      </c>
      <c r="N149" s="1">
        <v>20</v>
      </c>
      <c r="O149" s="1">
        <v>0</v>
      </c>
      <c r="P149" s="1">
        <v>183</v>
      </c>
      <c r="Q149" s="1">
        <v>575</v>
      </c>
      <c r="R149" s="1">
        <v>35</v>
      </c>
      <c r="S149" s="4">
        <v>6</v>
      </c>
      <c r="T149" s="1" t="s">
        <v>792</v>
      </c>
    </row>
    <row r="150" spans="1:20" x14ac:dyDescent="0.3">
      <c r="A150" s="3">
        <v>5805</v>
      </c>
      <c r="B150" s="1" t="s">
        <v>141</v>
      </c>
      <c r="C150" s="1" t="s">
        <v>276</v>
      </c>
      <c r="D150" s="1" t="s">
        <v>15</v>
      </c>
      <c r="E150" s="11">
        <v>45577</v>
      </c>
      <c r="F150" s="1">
        <v>289714</v>
      </c>
      <c r="G150" s="1">
        <v>1614</v>
      </c>
      <c r="H150" s="1">
        <v>35398</v>
      </c>
      <c r="I150" s="1">
        <v>2641</v>
      </c>
      <c r="J150" s="1">
        <v>6468</v>
      </c>
      <c r="K150" s="1">
        <v>111429</v>
      </c>
      <c r="L150" s="1">
        <v>188010</v>
      </c>
      <c r="M150" s="2">
        <v>0.15362391876126111</v>
      </c>
      <c r="N150" s="1">
        <v>5</v>
      </c>
      <c r="O150" s="1">
        <v>0</v>
      </c>
      <c r="P150" s="1">
        <v>1690</v>
      </c>
      <c r="Q150" s="1">
        <v>10232</v>
      </c>
      <c r="R150" s="1">
        <v>365</v>
      </c>
      <c r="S150" s="4">
        <v>11</v>
      </c>
      <c r="T150" s="1" t="s">
        <v>785</v>
      </c>
    </row>
    <row r="151" spans="1:20" x14ac:dyDescent="0.3">
      <c r="A151" s="3">
        <v>5791</v>
      </c>
      <c r="B151" s="1" t="s">
        <v>277</v>
      </c>
      <c r="C151" s="1" t="s">
        <v>278</v>
      </c>
      <c r="D151" s="1" t="s">
        <v>38</v>
      </c>
      <c r="E151" s="11">
        <v>45347</v>
      </c>
      <c r="F151" s="1">
        <v>110463</v>
      </c>
      <c r="G151" s="1">
        <v>189</v>
      </c>
      <c r="H151" s="1">
        <v>6350</v>
      </c>
      <c r="I151" s="1">
        <v>1208</v>
      </c>
      <c r="J151" s="1">
        <v>1713</v>
      </c>
      <c r="K151" s="1">
        <v>26635</v>
      </c>
      <c r="L151" s="1">
        <v>36817</v>
      </c>
      <c r="M151" s="2">
        <v>8.392855526284819E-2</v>
      </c>
      <c r="N151" s="1">
        <v>19</v>
      </c>
      <c r="O151" s="1">
        <v>25</v>
      </c>
      <c r="P151" s="1">
        <v>585</v>
      </c>
      <c r="Q151" s="1">
        <v>3965</v>
      </c>
      <c r="R151" s="1">
        <v>181</v>
      </c>
      <c r="S151" s="4">
        <v>23</v>
      </c>
      <c r="T151" s="1" t="s">
        <v>786</v>
      </c>
    </row>
    <row r="152" spans="1:20" x14ac:dyDescent="0.3">
      <c r="A152" s="3">
        <v>6473</v>
      </c>
      <c r="B152" s="1" t="s">
        <v>252</v>
      </c>
      <c r="C152" s="1" t="s">
        <v>279</v>
      </c>
      <c r="D152" s="1" t="s">
        <v>15</v>
      </c>
      <c r="E152" s="11">
        <v>45443</v>
      </c>
      <c r="F152" s="1">
        <v>147618</v>
      </c>
      <c r="G152" s="1">
        <v>181</v>
      </c>
      <c r="H152" s="1">
        <v>16843</v>
      </c>
      <c r="I152" s="1">
        <v>3269</v>
      </c>
      <c r="J152" s="1">
        <v>2551</v>
      </c>
      <c r="K152" s="1">
        <v>26286</v>
      </c>
      <c r="L152" s="1">
        <v>42346</v>
      </c>
      <c r="M152" s="2">
        <v>0.15352463791678522</v>
      </c>
      <c r="N152" s="1">
        <v>15</v>
      </c>
      <c r="O152" s="1">
        <v>0</v>
      </c>
      <c r="P152" s="1">
        <v>715</v>
      </c>
      <c r="Q152" s="1">
        <v>4149</v>
      </c>
      <c r="R152" s="1">
        <v>277</v>
      </c>
      <c r="S152" s="4">
        <v>7</v>
      </c>
      <c r="T152" s="1" t="s">
        <v>794</v>
      </c>
    </row>
    <row r="153" spans="1:20" x14ac:dyDescent="0.3">
      <c r="A153" s="3">
        <v>8384</v>
      </c>
      <c r="B153" s="1" t="s">
        <v>280</v>
      </c>
      <c r="C153" s="1" t="s">
        <v>281</v>
      </c>
      <c r="D153" s="1" t="s">
        <v>15</v>
      </c>
      <c r="E153" s="11">
        <v>45520</v>
      </c>
      <c r="F153" s="1">
        <v>375758</v>
      </c>
      <c r="G153" s="1">
        <v>182</v>
      </c>
      <c r="H153" s="1">
        <v>1612</v>
      </c>
      <c r="I153" s="1">
        <v>318</v>
      </c>
      <c r="J153" s="1">
        <v>369</v>
      </c>
      <c r="K153" s="1">
        <v>3766</v>
      </c>
      <c r="L153" s="1">
        <v>9734</v>
      </c>
      <c r="M153" s="2">
        <v>6.1182995438553538E-3</v>
      </c>
      <c r="N153" s="1">
        <v>14</v>
      </c>
      <c r="O153" s="1">
        <v>0</v>
      </c>
      <c r="P153" s="1">
        <v>77</v>
      </c>
      <c r="Q153" s="1">
        <v>550</v>
      </c>
      <c r="R153" s="1">
        <v>0</v>
      </c>
      <c r="S153" s="4">
        <v>11</v>
      </c>
      <c r="T153" s="1" t="s">
        <v>785</v>
      </c>
    </row>
    <row r="154" spans="1:20" x14ac:dyDescent="0.3">
      <c r="A154" s="3">
        <v>2846</v>
      </c>
      <c r="B154" s="1" t="s">
        <v>45</v>
      </c>
      <c r="C154" s="1" t="s">
        <v>282</v>
      </c>
      <c r="D154" s="1" t="s">
        <v>38</v>
      </c>
      <c r="E154" s="11">
        <v>45346</v>
      </c>
      <c r="F154" s="1">
        <v>81907</v>
      </c>
      <c r="G154" s="1">
        <v>830</v>
      </c>
      <c r="H154" s="1">
        <v>7781</v>
      </c>
      <c r="I154" s="1">
        <v>1212</v>
      </c>
      <c r="J154" s="1">
        <v>210</v>
      </c>
      <c r="K154" s="1">
        <v>33241</v>
      </c>
      <c r="L154" s="1">
        <v>34361</v>
      </c>
      <c r="M154" s="2">
        <v>0.11235913902352668</v>
      </c>
      <c r="N154" s="1">
        <v>25</v>
      </c>
      <c r="O154" s="1">
        <v>41</v>
      </c>
      <c r="P154" s="1">
        <v>319</v>
      </c>
      <c r="Q154" s="1">
        <v>4713</v>
      </c>
      <c r="R154" s="1">
        <v>0</v>
      </c>
      <c r="S154" s="4">
        <v>6</v>
      </c>
      <c r="T154" s="1" t="s">
        <v>792</v>
      </c>
    </row>
    <row r="155" spans="1:20" x14ac:dyDescent="0.3">
      <c r="A155" s="3">
        <v>9908</v>
      </c>
      <c r="B155" s="1" t="s">
        <v>283</v>
      </c>
      <c r="C155" s="1" t="s">
        <v>284</v>
      </c>
      <c r="D155" s="1" t="s">
        <v>20</v>
      </c>
      <c r="E155" s="11">
        <v>45435</v>
      </c>
      <c r="F155" s="1">
        <v>183943</v>
      </c>
      <c r="G155" s="1">
        <v>638</v>
      </c>
      <c r="H155" s="1">
        <v>12466</v>
      </c>
      <c r="I155" s="1">
        <v>1452</v>
      </c>
      <c r="J155" s="1">
        <v>855</v>
      </c>
      <c r="K155" s="1">
        <v>59120</v>
      </c>
      <c r="L155" s="1">
        <v>36693</v>
      </c>
      <c r="M155" s="2">
        <v>8.0312923025067554E-2</v>
      </c>
      <c r="N155" s="1">
        <v>22</v>
      </c>
      <c r="O155" s="1">
        <v>0</v>
      </c>
      <c r="P155" s="1">
        <v>430</v>
      </c>
      <c r="Q155" s="1">
        <v>11173</v>
      </c>
      <c r="R155" s="1">
        <v>708</v>
      </c>
      <c r="S155" s="4">
        <v>23</v>
      </c>
      <c r="T155" s="1" t="s">
        <v>786</v>
      </c>
    </row>
    <row r="156" spans="1:20" x14ac:dyDescent="0.3">
      <c r="A156" s="3">
        <v>7418</v>
      </c>
      <c r="B156" s="1" t="s">
        <v>188</v>
      </c>
      <c r="C156" s="1" t="s">
        <v>285</v>
      </c>
      <c r="D156" s="1" t="s">
        <v>15</v>
      </c>
      <c r="E156" s="11">
        <v>45380</v>
      </c>
      <c r="F156" s="1">
        <v>445851</v>
      </c>
      <c r="G156" s="1">
        <v>115</v>
      </c>
      <c r="H156" s="1">
        <v>56901</v>
      </c>
      <c r="I156" s="1">
        <v>10275</v>
      </c>
      <c r="J156" s="1">
        <v>1091</v>
      </c>
      <c r="K156" s="1">
        <v>280583</v>
      </c>
      <c r="L156" s="1">
        <v>347583</v>
      </c>
      <c r="M156" s="2">
        <v>0.15311617558332269</v>
      </c>
      <c r="N156" s="1">
        <v>16</v>
      </c>
      <c r="O156" s="1">
        <v>0</v>
      </c>
      <c r="P156" s="1">
        <v>4165</v>
      </c>
      <c r="Q156" s="1">
        <v>15442</v>
      </c>
      <c r="R156" s="1">
        <v>352</v>
      </c>
      <c r="S156" s="4">
        <v>20</v>
      </c>
      <c r="T156" s="1" t="s">
        <v>797</v>
      </c>
    </row>
    <row r="157" spans="1:20" x14ac:dyDescent="0.3">
      <c r="A157" s="3">
        <v>3734</v>
      </c>
      <c r="B157" s="1" t="s">
        <v>286</v>
      </c>
      <c r="C157" s="1" t="s">
        <v>287</v>
      </c>
      <c r="D157" s="1" t="s">
        <v>38</v>
      </c>
      <c r="E157" s="11">
        <v>45652</v>
      </c>
      <c r="F157" s="1">
        <v>80192</v>
      </c>
      <c r="G157" s="1">
        <v>1214</v>
      </c>
      <c r="H157" s="1">
        <v>487</v>
      </c>
      <c r="I157" s="1">
        <v>66</v>
      </c>
      <c r="J157" s="1">
        <v>19</v>
      </c>
      <c r="K157" s="1">
        <v>2026</v>
      </c>
      <c r="L157" s="1">
        <v>3416</v>
      </c>
      <c r="M157" s="2">
        <v>7.1328810853950519E-3</v>
      </c>
      <c r="N157" s="1">
        <v>11</v>
      </c>
      <c r="O157" s="1">
        <v>3</v>
      </c>
      <c r="P157" s="1">
        <v>43</v>
      </c>
      <c r="Q157" s="1">
        <v>277</v>
      </c>
      <c r="R157" s="1">
        <v>0</v>
      </c>
      <c r="S157" s="4">
        <v>22</v>
      </c>
      <c r="T157" s="1" t="s">
        <v>784</v>
      </c>
    </row>
    <row r="158" spans="1:20" x14ac:dyDescent="0.3">
      <c r="A158" s="3">
        <v>6819</v>
      </c>
      <c r="B158" s="1" t="s">
        <v>23</v>
      </c>
      <c r="C158" s="1" t="s">
        <v>288</v>
      </c>
      <c r="D158" s="1" t="s">
        <v>15</v>
      </c>
      <c r="E158" s="11">
        <v>45537</v>
      </c>
      <c r="F158" s="1">
        <v>338430</v>
      </c>
      <c r="G158" s="1">
        <v>566</v>
      </c>
      <c r="H158" s="1">
        <v>24365</v>
      </c>
      <c r="I158" s="1">
        <v>763</v>
      </c>
      <c r="J158" s="1">
        <v>2504</v>
      </c>
      <c r="K158" s="1">
        <v>46567</v>
      </c>
      <c r="L158" s="1">
        <v>172604</v>
      </c>
      <c r="M158" s="2">
        <v>8.1647608072570405E-2</v>
      </c>
      <c r="N158" s="1">
        <v>5</v>
      </c>
      <c r="O158" s="1">
        <v>0</v>
      </c>
      <c r="P158" s="1">
        <v>2155</v>
      </c>
      <c r="Q158" s="1">
        <v>4793</v>
      </c>
      <c r="R158" s="1">
        <v>391</v>
      </c>
      <c r="S158" s="4">
        <v>12</v>
      </c>
      <c r="T158" s="1" t="s">
        <v>787</v>
      </c>
    </row>
    <row r="159" spans="1:20" x14ac:dyDescent="0.3">
      <c r="A159" s="3">
        <v>3020</v>
      </c>
      <c r="B159" s="1" t="s">
        <v>244</v>
      </c>
      <c r="C159" s="1" t="s">
        <v>289</v>
      </c>
      <c r="D159" s="1" t="s">
        <v>20</v>
      </c>
      <c r="E159" s="11">
        <v>45498</v>
      </c>
      <c r="F159" s="1">
        <v>80508</v>
      </c>
      <c r="G159" s="1">
        <v>1576</v>
      </c>
      <c r="H159" s="1">
        <v>1869</v>
      </c>
      <c r="I159" s="1">
        <v>282</v>
      </c>
      <c r="J159" s="1">
        <v>378</v>
      </c>
      <c r="K159" s="1">
        <v>2904</v>
      </c>
      <c r="L159" s="1">
        <v>8533</v>
      </c>
      <c r="M159" s="2">
        <v>3.141302727679237E-2</v>
      </c>
      <c r="N159" s="1">
        <v>12</v>
      </c>
      <c r="O159" s="1">
        <v>0</v>
      </c>
      <c r="P159" s="1">
        <v>83</v>
      </c>
      <c r="Q159" s="1">
        <v>168</v>
      </c>
      <c r="R159" s="1">
        <v>6</v>
      </c>
      <c r="S159" s="4">
        <v>8</v>
      </c>
      <c r="T159" s="1" t="s">
        <v>796</v>
      </c>
    </row>
    <row r="160" spans="1:20" x14ac:dyDescent="0.3">
      <c r="A160" s="3">
        <v>3116</v>
      </c>
      <c r="B160" s="1" t="s">
        <v>121</v>
      </c>
      <c r="C160" s="1" t="s">
        <v>290</v>
      </c>
      <c r="D160" s="1" t="s">
        <v>15</v>
      </c>
      <c r="E160" s="11">
        <v>45293</v>
      </c>
      <c r="F160" s="1">
        <v>231753</v>
      </c>
      <c r="G160" s="1">
        <v>199</v>
      </c>
      <c r="H160" s="1">
        <v>27447</v>
      </c>
      <c r="I160" s="1">
        <v>4639</v>
      </c>
      <c r="J160" s="1">
        <v>5202</v>
      </c>
      <c r="K160" s="1">
        <v>75288</v>
      </c>
      <c r="L160" s="1">
        <v>182844</v>
      </c>
      <c r="M160" s="2">
        <v>0.16089543608928472</v>
      </c>
      <c r="N160" s="1">
        <v>7</v>
      </c>
      <c r="O160" s="1">
        <v>0</v>
      </c>
      <c r="P160" s="1">
        <v>1500</v>
      </c>
      <c r="Q160" s="1">
        <v>12041</v>
      </c>
      <c r="R160" s="1">
        <v>0</v>
      </c>
      <c r="S160" s="4">
        <v>17</v>
      </c>
      <c r="T160" s="1" t="s">
        <v>791</v>
      </c>
    </row>
    <row r="161" spans="1:20" x14ac:dyDescent="0.3">
      <c r="A161" s="3">
        <v>6752</v>
      </c>
      <c r="B161" s="1" t="s">
        <v>102</v>
      </c>
      <c r="C161" s="1" t="s">
        <v>291</v>
      </c>
      <c r="D161" s="1" t="s">
        <v>38</v>
      </c>
      <c r="E161" s="11">
        <v>45560</v>
      </c>
      <c r="F161" s="1">
        <v>201942</v>
      </c>
      <c r="G161" s="1">
        <v>261</v>
      </c>
      <c r="H161" s="1">
        <v>19865</v>
      </c>
      <c r="I161" s="1">
        <v>1198</v>
      </c>
      <c r="J161" s="1">
        <v>3022</v>
      </c>
      <c r="K161" s="1">
        <v>21012</v>
      </c>
      <c r="L161" s="1">
        <v>46468</v>
      </c>
      <c r="M161" s="2">
        <v>0.11926691822404453</v>
      </c>
      <c r="N161" s="1">
        <v>25</v>
      </c>
      <c r="O161" s="1">
        <v>35</v>
      </c>
      <c r="P161" s="1">
        <v>876</v>
      </c>
      <c r="Q161" s="1">
        <v>3738</v>
      </c>
      <c r="R161" s="1">
        <v>241</v>
      </c>
      <c r="S161" s="4">
        <v>6</v>
      </c>
      <c r="T161" s="1" t="s">
        <v>792</v>
      </c>
    </row>
    <row r="162" spans="1:20" x14ac:dyDescent="0.3">
      <c r="A162" s="3">
        <v>2101</v>
      </c>
      <c r="B162" s="1" t="s">
        <v>292</v>
      </c>
      <c r="C162" s="1" t="s">
        <v>293</v>
      </c>
      <c r="D162" s="1" t="s">
        <v>20</v>
      </c>
      <c r="E162" s="11">
        <v>45439</v>
      </c>
      <c r="F162" s="1">
        <v>59826</v>
      </c>
      <c r="G162" s="1">
        <v>1096</v>
      </c>
      <c r="H162" s="1">
        <v>7859</v>
      </c>
      <c r="I162" s="1">
        <v>1339</v>
      </c>
      <c r="J162" s="1">
        <v>598</v>
      </c>
      <c r="K162" s="1">
        <v>25191</v>
      </c>
      <c r="L162" s="1">
        <v>20225</v>
      </c>
      <c r="M162" s="2">
        <v>0.16374151706615853</v>
      </c>
      <c r="N162" s="1">
        <v>13</v>
      </c>
      <c r="O162" s="1">
        <v>0</v>
      </c>
      <c r="P162" s="1">
        <v>231</v>
      </c>
      <c r="Q162" s="1">
        <v>1533</v>
      </c>
      <c r="R162" s="1">
        <v>1</v>
      </c>
      <c r="S162" s="4">
        <v>12</v>
      </c>
      <c r="T162" s="1" t="s">
        <v>787</v>
      </c>
    </row>
    <row r="163" spans="1:20" x14ac:dyDescent="0.3">
      <c r="A163" s="3">
        <v>6276</v>
      </c>
      <c r="B163" s="1" t="s">
        <v>198</v>
      </c>
      <c r="C163" s="1" t="s">
        <v>294</v>
      </c>
      <c r="D163" s="1" t="s">
        <v>15</v>
      </c>
      <c r="E163" s="11">
        <v>45379</v>
      </c>
      <c r="F163" s="1">
        <v>119852</v>
      </c>
      <c r="G163" s="1">
        <v>1301</v>
      </c>
      <c r="H163" s="1">
        <v>176</v>
      </c>
      <c r="I163" s="1">
        <v>17</v>
      </c>
      <c r="J163" s="1">
        <v>20</v>
      </c>
      <c r="K163" s="1">
        <v>855</v>
      </c>
      <c r="L163" s="1">
        <v>795</v>
      </c>
      <c r="M163" s="2">
        <v>1.7771918699729667E-3</v>
      </c>
      <c r="N163" s="1">
        <v>25</v>
      </c>
      <c r="O163" s="1">
        <v>0</v>
      </c>
      <c r="P163" s="1">
        <v>16</v>
      </c>
      <c r="Q163" s="1">
        <v>45</v>
      </c>
      <c r="R163" s="1">
        <v>0</v>
      </c>
      <c r="S163" s="4">
        <v>7</v>
      </c>
      <c r="T163" s="1" t="s">
        <v>794</v>
      </c>
    </row>
    <row r="164" spans="1:20" x14ac:dyDescent="0.3">
      <c r="A164" s="3">
        <v>4539</v>
      </c>
      <c r="B164" s="1" t="s">
        <v>295</v>
      </c>
      <c r="C164" s="1" t="s">
        <v>296</v>
      </c>
      <c r="D164" s="1" t="s">
        <v>20</v>
      </c>
      <c r="E164" s="11">
        <v>45565</v>
      </c>
      <c r="F164" s="1">
        <v>467845</v>
      </c>
      <c r="G164" s="1">
        <v>1343</v>
      </c>
      <c r="H164" s="1">
        <v>29182</v>
      </c>
      <c r="I164" s="1">
        <v>5518</v>
      </c>
      <c r="J164" s="1">
        <v>4352</v>
      </c>
      <c r="K164" s="1">
        <v>37597</v>
      </c>
      <c r="L164" s="1">
        <v>61807</v>
      </c>
      <c r="M164" s="2">
        <v>8.3472090115315964E-2</v>
      </c>
      <c r="N164" s="1">
        <v>11</v>
      </c>
      <c r="O164" s="1">
        <v>0</v>
      </c>
      <c r="P164" s="1">
        <v>2208</v>
      </c>
      <c r="Q164" s="1">
        <v>2739</v>
      </c>
      <c r="R164" s="1">
        <v>224</v>
      </c>
      <c r="S164" s="4">
        <v>20</v>
      </c>
      <c r="T164" s="1" t="s">
        <v>797</v>
      </c>
    </row>
    <row r="165" spans="1:20" x14ac:dyDescent="0.3">
      <c r="A165" s="3">
        <v>6466</v>
      </c>
      <c r="B165" s="1" t="s">
        <v>297</v>
      </c>
      <c r="C165" s="1" t="s">
        <v>298</v>
      </c>
      <c r="D165" s="1" t="s">
        <v>38</v>
      </c>
      <c r="E165" s="11">
        <v>45410</v>
      </c>
      <c r="F165" s="1">
        <v>172496</v>
      </c>
      <c r="G165" s="1">
        <v>440</v>
      </c>
      <c r="H165" s="1">
        <v>6544</v>
      </c>
      <c r="I165" s="1">
        <v>897</v>
      </c>
      <c r="J165" s="1">
        <v>1462</v>
      </c>
      <c r="K165" s="1">
        <v>10395</v>
      </c>
      <c r="L165" s="1">
        <v>14680</v>
      </c>
      <c r="M165" s="2">
        <v>5.161279102124107E-2</v>
      </c>
      <c r="N165" s="1">
        <v>22</v>
      </c>
      <c r="O165" s="1">
        <v>24</v>
      </c>
      <c r="P165" s="1">
        <v>288</v>
      </c>
      <c r="Q165" s="1">
        <v>1346</v>
      </c>
      <c r="R165" s="1">
        <v>89</v>
      </c>
      <c r="S165" s="4">
        <v>11</v>
      </c>
      <c r="T165" s="1" t="s">
        <v>785</v>
      </c>
    </row>
    <row r="166" spans="1:20" x14ac:dyDescent="0.3">
      <c r="A166" s="3">
        <v>4364</v>
      </c>
      <c r="B166" s="1" t="s">
        <v>299</v>
      </c>
      <c r="C166" s="1" t="s">
        <v>300</v>
      </c>
      <c r="D166" s="1" t="s">
        <v>38</v>
      </c>
      <c r="E166" s="11">
        <v>45508</v>
      </c>
      <c r="F166" s="1">
        <v>346929</v>
      </c>
      <c r="G166" s="1">
        <v>312</v>
      </c>
      <c r="H166" s="1">
        <v>22331</v>
      </c>
      <c r="I166" s="1">
        <v>3092</v>
      </c>
      <c r="J166" s="1">
        <v>5196</v>
      </c>
      <c r="K166" s="1">
        <v>100310</v>
      </c>
      <c r="L166" s="1">
        <v>156908</v>
      </c>
      <c r="M166" s="2">
        <v>8.8257251483732979E-2</v>
      </c>
      <c r="N166" s="1">
        <v>14</v>
      </c>
      <c r="O166" s="1">
        <v>44</v>
      </c>
      <c r="P166" s="1">
        <v>1009</v>
      </c>
      <c r="Q166" s="1">
        <v>19923</v>
      </c>
      <c r="R166" s="1">
        <v>969</v>
      </c>
      <c r="S166" s="4">
        <v>18</v>
      </c>
      <c r="T166" s="1" t="s">
        <v>793</v>
      </c>
    </row>
    <row r="167" spans="1:20" x14ac:dyDescent="0.3">
      <c r="A167" s="3">
        <v>4109</v>
      </c>
      <c r="B167" s="1" t="s">
        <v>16</v>
      </c>
      <c r="C167" s="1" t="s">
        <v>301</v>
      </c>
      <c r="D167" s="1" t="s">
        <v>15</v>
      </c>
      <c r="E167" s="11">
        <v>45513</v>
      </c>
      <c r="F167" s="1">
        <v>248796</v>
      </c>
      <c r="G167" s="1">
        <v>1905</v>
      </c>
      <c r="H167" s="1">
        <v>9003</v>
      </c>
      <c r="I167" s="1">
        <v>1730</v>
      </c>
      <c r="J167" s="1">
        <v>815</v>
      </c>
      <c r="K167" s="1">
        <v>39961</v>
      </c>
      <c r="L167" s="1">
        <v>49796</v>
      </c>
      <c r="M167" s="2">
        <v>4.6415537227286613E-2</v>
      </c>
      <c r="N167" s="1">
        <v>19</v>
      </c>
      <c r="O167" s="1">
        <v>0</v>
      </c>
      <c r="P167" s="1">
        <v>218</v>
      </c>
      <c r="Q167" s="1">
        <v>6677</v>
      </c>
      <c r="R167" s="1">
        <v>0</v>
      </c>
      <c r="S167" s="4">
        <v>12</v>
      </c>
      <c r="T167" s="1" t="s">
        <v>787</v>
      </c>
    </row>
    <row r="168" spans="1:20" x14ac:dyDescent="0.3">
      <c r="A168" s="3">
        <v>2038</v>
      </c>
      <c r="B168" s="1" t="s">
        <v>63</v>
      </c>
      <c r="C168" s="1" t="s">
        <v>302</v>
      </c>
      <c r="D168" s="1" t="s">
        <v>38</v>
      </c>
      <c r="E168" s="11">
        <v>45571</v>
      </c>
      <c r="F168" s="1">
        <v>350018</v>
      </c>
      <c r="G168" s="1">
        <v>1061</v>
      </c>
      <c r="H168" s="1">
        <v>2367</v>
      </c>
      <c r="I168" s="1">
        <v>52</v>
      </c>
      <c r="J168" s="1">
        <v>652</v>
      </c>
      <c r="K168" s="1">
        <v>5751</v>
      </c>
      <c r="L168" s="1">
        <v>6695</v>
      </c>
      <c r="M168" s="2">
        <v>8.7738344885120202E-3</v>
      </c>
      <c r="N168" s="1">
        <v>23</v>
      </c>
      <c r="O168" s="1">
        <v>20</v>
      </c>
      <c r="P168" s="1">
        <v>49</v>
      </c>
      <c r="Q168" s="1">
        <v>348</v>
      </c>
      <c r="R168" s="1">
        <v>27</v>
      </c>
      <c r="S168" s="4">
        <v>15</v>
      </c>
      <c r="T168" s="1" t="s">
        <v>789</v>
      </c>
    </row>
    <row r="169" spans="1:20" x14ac:dyDescent="0.3">
      <c r="A169" s="3">
        <v>3599</v>
      </c>
      <c r="B169" s="1" t="s">
        <v>303</v>
      </c>
      <c r="C169" s="1" t="s">
        <v>304</v>
      </c>
      <c r="D169" s="1" t="s">
        <v>38</v>
      </c>
      <c r="E169" s="11">
        <v>45548</v>
      </c>
      <c r="F169" s="1">
        <v>312861</v>
      </c>
      <c r="G169" s="1">
        <v>1533</v>
      </c>
      <c r="H169" s="1">
        <v>43236</v>
      </c>
      <c r="I169" s="1">
        <v>2162</v>
      </c>
      <c r="J169" s="1">
        <v>6641</v>
      </c>
      <c r="K169" s="1">
        <v>196692</v>
      </c>
      <c r="L169" s="1">
        <v>305763</v>
      </c>
      <c r="M169" s="2">
        <v>0.16633265251980911</v>
      </c>
      <c r="N169" s="1">
        <v>6</v>
      </c>
      <c r="O169" s="1">
        <v>10</v>
      </c>
      <c r="P169" s="1">
        <v>1941</v>
      </c>
      <c r="Q169" s="1">
        <v>13110</v>
      </c>
      <c r="R169" s="1">
        <v>845</v>
      </c>
      <c r="S169" s="4">
        <v>18</v>
      </c>
      <c r="T169" s="1" t="s">
        <v>793</v>
      </c>
    </row>
    <row r="170" spans="1:20" x14ac:dyDescent="0.3">
      <c r="A170" s="3">
        <v>1516</v>
      </c>
      <c r="B170" s="1" t="s">
        <v>305</v>
      </c>
      <c r="C170" s="1" t="s">
        <v>306</v>
      </c>
      <c r="D170" s="1" t="s">
        <v>15</v>
      </c>
      <c r="E170" s="11">
        <v>45577</v>
      </c>
      <c r="F170" s="1">
        <v>122899</v>
      </c>
      <c r="G170" s="1">
        <v>1648</v>
      </c>
      <c r="H170" s="1">
        <v>9540</v>
      </c>
      <c r="I170" s="1">
        <v>1818</v>
      </c>
      <c r="J170" s="1">
        <v>659</v>
      </c>
      <c r="K170" s="1">
        <v>13307</v>
      </c>
      <c r="L170" s="1">
        <v>45266</v>
      </c>
      <c r="M170" s="2">
        <v>9.7779477457098918E-2</v>
      </c>
      <c r="N170" s="1">
        <v>7</v>
      </c>
      <c r="O170" s="1">
        <v>0</v>
      </c>
      <c r="P170" s="1">
        <v>446</v>
      </c>
      <c r="Q170" s="1">
        <v>1668</v>
      </c>
      <c r="R170" s="1">
        <v>47</v>
      </c>
      <c r="S170" s="4">
        <v>19</v>
      </c>
      <c r="T170" s="1" t="s">
        <v>795</v>
      </c>
    </row>
    <row r="171" spans="1:20" x14ac:dyDescent="0.3">
      <c r="A171" s="3">
        <v>8650</v>
      </c>
      <c r="B171" s="1" t="s">
        <v>229</v>
      </c>
      <c r="C171" s="1" t="s">
        <v>307</v>
      </c>
      <c r="D171" s="1" t="s">
        <v>38</v>
      </c>
      <c r="E171" s="11">
        <v>45438</v>
      </c>
      <c r="F171" s="1">
        <v>247442</v>
      </c>
      <c r="G171" s="1">
        <v>413</v>
      </c>
      <c r="H171" s="1">
        <v>10338</v>
      </c>
      <c r="I171" s="1">
        <v>979</v>
      </c>
      <c r="J171" s="1">
        <v>3069</v>
      </c>
      <c r="K171" s="1">
        <v>29816</v>
      </c>
      <c r="L171" s="1">
        <v>71043</v>
      </c>
      <c r="M171" s="2">
        <v>5.8138876989355083E-2</v>
      </c>
      <c r="N171" s="1">
        <v>13</v>
      </c>
      <c r="O171" s="1">
        <v>9</v>
      </c>
      <c r="P171" s="1">
        <v>514</v>
      </c>
      <c r="Q171" s="1">
        <v>2026</v>
      </c>
      <c r="R171" s="1">
        <v>77</v>
      </c>
      <c r="S171" s="4">
        <v>19</v>
      </c>
      <c r="T171" s="1" t="s">
        <v>795</v>
      </c>
    </row>
    <row r="172" spans="1:20" x14ac:dyDescent="0.3">
      <c r="A172" s="3">
        <v>1840</v>
      </c>
      <c r="B172" s="1" t="s">
        <v>308</v>
      </c>
      <c r="C172" s="1" t="s">
        <v>309</v>
      </c>
      <c r="D172" s="1" t="s">
        <v>20</v>
      </c>
      <c r="E172" s="11">
        <v>45454</v>
      </c>
      <c r="F172" s="1">
        <v>440912</v>
      </c>
      <c r="G172" s="1">
        <v>687</v>
      </c>
      <c r="H172" s="1">
        <v>9374</v>
      </c>
      <c r="I172" s="1">
        <v>269</v>
      </c>
      <c r="J172" s="1">
        <v>1773</v>
      </c>
      <c r="K172" s="1">
        <v>41758</v>
      </c>
      <c r="L172" s="1">
        <v>56123</v>
      </c>
      <c r="M172" s="2">
        <v>2.5891787930471387E-2</v>
      </c>
      <c r="N172" s="1">
        <v>13</v>
      </c>
      <c r="O172" s="1">
        <v>0</v>
      </c>
      <c r="P172" s="1">
        <v>262</v>
      </c>
      <c r="Q172" s="1">
        <v>3596</v>
      </c>
      <c r="R172" s="1">
        <v>0</v>
      </c>
      <c r="S172" s="4">
        <v>7</v>
      </c>
      <c r="T172" s="1" t="s">
        <v>794</v>
      </c>
    </row>
    <row r="173" spans="1:20" x14ac:dyDescent="0.3">
      <c r="A173" s="3">
        <v>9167</v>
      </c>
      <c r="B173" s="1" t="s">
        <v>310</v>
      </c>
      <c r="C173" s="1" t="s">
        <v>311</v>
      </c>
      <c r="D173" s="1" t="s">
        <v>38</v>
      </c>
      <c r="E173" s="11">
        <v>45476</v>
      </c>
      <c r="F173" s="1">
        <v>464762</v>
      </c>
      <c r="G173" s="1">
        <v>475</v>
      </c>
      <c r="H173" s="1">
        <v>40982</v>
      </c>
      <c r="I173" s="1">
        <v>4187</v>
      </c>
      <c r="J173" s="1">
        <v>4286</v>
      </c>
      <c r="K173" s="1">
        <v>42931</v>
      </c>
      <c r="L173" s="1">
        <v>316780</v>
      </c>
      <c r="M173" s="2">
        <v>0.10640930196530697</v>
      </c>
      <c r="N173" s="1">
        <v>22</v>
      </c>
      <c r="O173" s="1">
        <v>3</v>
      </c>
      <c r="P173" s="1">
        <v>3024</v>
      </c>
      <c r="Q173" s="1">
        <v>4897</v>
      </c>
      <c r="R173" s="1">
        <v>0</v>
      </c>
      <c r="S173" s="4">
        <v>13</v>
      </c>
      <c r="T173" s="1" t="s">
        <v>782</v>
      </c>
    </row>
    <row r="174" spans="1:20" x14ac:dyDescent="0.3">
      <c r="A174" s="3">
        <v>8720</v>
      </c>
      <c r="B174" s="1" t="s">
        <v>312</v>
      </c>
      <c r="C174" s="1" t="s">
        <v>313</v>
      </c>
      <c r="D174" s="1" t="s">
        <v>38</v>
      </c>
      <c r="E174" s="11">
        <v>45652</v>
      </c>
      <c r="F174" s="1">
        <v>178680</v>
      </c>
      <c r="G174" s="1">
        <v>1778</v>
      </c>
      <c r="H174" s="1">
        <v>6762</v>
      </c>
      <c r="I174" s="1">
        <v>349</v>
      </c>
      <c r="J174" s="1">
        <v>122</v>
      </c>
      <c r="K174" s="1">
        <v>23726</v>
      </c>
      <c r="L174" s="1">
        <v>21737</v>
      </c>
      <c r="M174" s="2">
        <v>4.0480188045668233E-2</v>
      </c>
      <c r="N174" s="1">
        <v>21</v>
      </c>
      <c r="O174" s="1">
        <v>28</v>
      </c>
      <c r="P174" s="1">
        <v>465</v>
      </c>
      <c r="Q174" s="1">
        <v>1761</v>
      </c>
      <c r="R174" s="1">
        <v>28</v>
      </c>
      <c r="S174" s="4">
        <v>21</v>
      </c>
      <c r="T174" s="1" t="s">
        <v>799</v>
      </c>
    </row>
    <row r="175" spans="1:20" x14ac:dyDescent="0.3">
      <c r="A175" s="3">
        <v>7882</v>
      </c>
      <c r="B175" s="1" t="s">
        <v>314</v>
      </c>
      <c r="C175" s="1" t="s">
        <v>315</v>
      </c>
      <c r="D175" s="1" t="s">
        <v>38</v>
      </c>
      <c r="E175" s="11">
        <v>45616</v>
      </c>
      <c r="F175" s="1">
        <v>41323</v>
      </c>
      <c r="G175" s="1">
        <v>1295</v>
      </c>
      <c r="H175" s="1">
        <v>4032</v>
      </c>
      <c r="I175" s="1">
        <v>515</v>
      </c>
      <c r="J175" s="1">
        <v>895</v>
      </c>
      <c r="K175" s="1">
        <v>17407</v>
      </c>
      <c r="L175" s="1">
        <v>23934</v>
      </c>
      <c r="M175" s="2">
        <v>0.13169421387604965</v>
      </c>
      <c r="N175" s="1">
        <v>21</v>
      </c>
      <c r="O175" s="1">
        <v>16</v>
      </c>
      <c r="P175" s="1">
        <v>260</v>
      </c>
      <c r="Q175" s="1">
        <v>2124</v>
      </c>
      <c r="R175" s="1">
        <v>55</v>
      </c>
      <c r="S175" s="4">
        <v>11</v>
      </c>
      <c r="T175" s="1" t="s">
        <v>785</v>
      </c>
    </row>
    <row r="176" spans="1:20" x14ac:dyDescent="0.3">
      <c r="A176" s="3">
        <v>8278</v>
      </c>
      <c r="B176" s="1" t="s">
        <v>109</v>
      </c>
      <c r="C176" s="1" t="s">
        <v>316</v>
      </c>
      <c r="D176" s="1" t="s">
        <v>38</v>
      </c>
      <c r="E176" s="11">
        <v>45583</v>
      </c>
      <c r="F176" s="1">
        <v>436141</v>
      </c>
      <c r="G176" s="1">
        <v>1803</v>
      </c>
      <c r="H176" s="1">
        <v>26884</v>
      </c>
      <c r="I176" s="1">
        <v>1441</v>
      </c>
      <c r="J176" s="1">
        <v>6787</v>
      </c>
      <c r="K176" s="1">
        <v>43641</v>
      </c>
      <c r="L176" s="1">
        <v>104826</v>
      </c>
      <c r="M176" s="2">
        <v>8.0506074870282773E-2</v>
      </c>
      <c r="N176" s="1">
        <v>18</v>
      </c>
      <c r="O176" s="1">
        <v>27</v>
      </c>
      <c r="P176" s="1">
        <v>2125</v>
      </c>
      <c r="Q176" s="1">
        <v>8441</v>
      </c>
      <c r="R176" s="1">
        <v>825</v>
      </c>
      <c r="S176" s="4">
        <v>8</v>
      </c>
      <c r="T176" s="1" t="s">
        <v>796</v>
      </c>
    </row>
    <row r="177" spans="1:20" x14ac:dyDescent="0.3">
      <c r="A177" s="3">
        <v>4515</v>
      </c>
      <c r="B177" s="1" t="s">
        <v>317</v>
      </c>
      <c r="C177" s="1" t="s">
        <v>318</v>
      </c>
      <c r="D177" s="1" t="s">
        <v>38</v>
      </c>
      <c r="E177" s="11">
        <v>45308</v>
      </c>
      <c r="F177" s="1">
        <v>163812</v>
      </c>
      <c r="G177" s="1">
        <v>714</v>
      </c>
      <c r="H177" s="1">
        <v>14302</v>
      </c>
      <c r="I177" s="1">
        <v>2651</v>
      </c>
      <c r="J177" s="1">
        <v>2058</v>
      </c>
      <c r="K177" s="1">
        <v>16208</v>
      </c>
      <c r="L177" s="1">
        <v>35975</v>
      </c>
      <c r="M177" s="2">
        <v>0.11605376895465534</v>
      </c>
      <c r="N177" s="1">
        <v>8</v>
      </c>
      <c r="O177" s="1">
        <v>33</v>
      </c>
      <c r="P177" s="1">
        <v>396</v>
      </c>
      <c r="Q177" s="1">
        <v>2891</v>
      </c>
      <c r="R177" s="1">
        <v>0</v>
      </c>
      <c r="S177" s="4">
        <v>18</v>
      </c>
      <c r="T177" s="1" t="s">
        <v>793</v>
      </c>
    </row>
    <row r="178" spans="1:20" x14ac:dyDescent="0.3">
      <c r="A178" s="3">
        <v>9002</v>
      </c>
      <c r="B178" s="1" t="s">
        <v>69</v>
      </c>
      <c r="C178" s="1" t="s">
        <v>319</v>
      </c>
      <c r="D178" s="1" t="s">
        <v>38</v>
      </c>
      <c r="E178" s="11">
        <v>45371</v>
      </c>
      <c r="F178" s="1">
        <v>332274</v>
      </c>
      <c r="G178" s="1">
        <v>1209</v>
      </c>
      <c r="H178" s="1">
        <v>25446</v>
      </c>
      <c r="I178" s="1">
        <v>3244</v>
      </c>
      <c r="J178" s="1">
        <v>822</v>
      </c>
      <c r="K178" s="1">
        <v>80120</v>
      </c>
      <c r="L178" s="1">
        <v>181762</v>
      </c>
      <c r="M178" s="2">
        <v>8.8818264444404313E-2</v>
      </c>
      <c r="N178" s="1">
        <v>13</v>
      </c>
      <c r="O178" s="1">
        <v>45</v>
      </c>
      <c r="P178" s="1">
        <v>2542</v>
      </c>
      <c r="Q178" s="1">
        <v>6557</v>
      </c>
      <c r="R178" s="1">
        <v>0</v>
      </c>
      <c r="S178" s="4">
        <v>22</v>
      </c>
      <c r="T178" s="1" t="s">
        <v>784</v>
      </c>
    </row>
    <row r="179" spans="1:20" x14ac:dyDescent="0.3">
      <c r="A179" s="3">
        <v>2737</v>
      </c>
      <c r="B179" s="1" t="s">
        <v>320</v>
      </c>
      <c r="C179" s="1" t="s">
        <v>321</v>
      </c>
      <c r="D179" s="1" t="s">
        <v>20</v>
      </c>
      <c r="E179" s="11">
        <v>45443</v>
      </c>
      <c r="F179" s="1">
        <v>349544</v>
      </c>
      <c r="G179" s="1">
        <v>1847</v>
      </c>
      <c r="H179" s="1">
        <v>11151</v>
      </c>
      <c r="I179" s="1">
        <v>164</v>
      </c>
      <c r="J179" s="1">
        <v>2601</v>
      </c>
      <c r="K179" s="1">
        <v>52051</v>
      </c>
      <c r="L179" s="1">
        <v>50098</v>
      </c>
      <c r="M179" s="2">
        <v>3.9811869178129219E-2</v>
      </c>
      <c r="N179" s="1">
        <v>22</v>
      </c>
      <c r="O179" s="1">
        <v>0</v>
      </c>
      <c r="P179" s="1">
        <v>955</v>
      </c>
      <c r="Q179" s="1">
        <v>2680</v>
      </c>
      <c r="R179" s="1">
        <v>147</v>
      </c>
      <c r="S179" s="4">
        <v>11</v>
      </c>
      <c r="T179" s="1" t="s">
        <v>785</v>
      </c>
    </row>
    <row r="180" spans="1:20" x14ac:dyDescent="0.3">
      <c r="A180" s="3">
        <v>1898</v>
      </c>
      <c r="B180" s="1" t="s">
        <v>322</v>
      </c>
      <c r="C180" s="1" t="s">
        <v>323</v>
      </c>
      <c r="D180" s="1" t="s">
        <v>20</v>
      </c>
      <c r="E180" s="11">
        <v>45630</v>
      </c>
      <c r="F180" s="1">
        <v>378273</v>
      </c>
      <c r="G180" s="1">
        <v>1595</v>
      </c>
      <c r="H180" s="1">
        <v>49310</v>
      </c>
      <c r="I180" s="1">
        <v>1725</v>
      </c>
      <c r="J180" s="1">
        <v>3171</v>
      </c>
      <c r="K180" s="1">
        <v>108844</v>
      </c>
      <c r="L180" s="1">
        <v>326696</v>
      </c>
      <c r="M180" s="2">
        <v>0.14329862295220647</v>
      </c>
      <c r="N180" s="1">
        <v>5</v>
      </c>
      <c r="O180" s="1">
        <v>0</v>
      </c>
      <c r="P180" s="1">
        <v>2903</v>
      </c>
      <c r="Q180" s="1">
        <v>17525</v>
      </c>
      <c r="R180" s="1">
        <v>1229</v>
      </c>
      <c r="S180" s="4">
        <v>20</v>
      </c>
      <c r="T180" s="1" t="s">
        <v>797</v>
      </c>
    </row>
    <row r="181" spans="1:20" x14ac:dyDescent="0.3">
      <c r="A181" s="3">
        <v>1249</v>
      </c>
      <c r="B181" s="1" t="s">
        <v>115</v>
      </c>
      <c r="C181" s="1" t="s">
        <v>324</v>
      </c>
      <c r="D181" s="1" t="s">
        <v>15</v>
      </c>
      <c r="E181" s="11">
        <v>45518</v>
      </c>
      <c r="F181" s="1">
        <v>235403</v>
      </c>
      <c r="G181" s="1">
        <v>1086</v>
      </c>
      <c r="H181" s="1">
        <v>27180</v>
      </c>
      <c r="I181" s="1">
        <v>3103</v>
      </c>
      <c r="J181" s="1">
        <v>5010</v>
      </c>
      <c r="K181" s="1">
        <v>126432</v>
      </c>
      <c r="L181" s="1">
        <v>98023</v>
      </c>
      <c r="M181" s="2">
        <v>0.14992587180282324</v>
      </c>
      <c r="N181" s="1">
        <v>17</v>
      </c>
      <c r="O181" s="1">
        <v>0</v>
      </c>
      <c r="P181" s="1">
        <v>725</v>
      </c>
      <c r="Q181" s="1">
        <v>8114</v>
      </c>
      <c r="R181" s="1">
        <v>124</v>
      </c>
      <c r="S181" s="4">
        <v>17</v>
      </c>
      <c r="T181" s="1" t="s">
        <v>791</v>
      </c>
    </row>
    <row r="182" spans="1:20" x14ac:dyDescent="0.3">
      <c r="A182" s="3">
        <v>4166</v>
      </c>
      <c r="B182" s="1" t="s">
        <v>213</v>
      </c>
      <c r="C182" s="1" t="s">
        <v>325</v>
      </c>
      <c r="D182" s="1" t="s">
        <v>15</v>
      </c>
      <c r="E182" s="11">
        <v>45577</v>
      </c>
      <c r="F182" s="1">
        <v>24059</v>
      </c>
      <c r="G182" s="1">
        <v>182</v>
      </c>
      <c r="H182" s="1">
        <v>865</v>
      </c>
      <c r="I182" s="1">
        <v>72</v>
      </c>
      <c r="J182" s="1">
        <v>230</v>
      </c>
      <c r="K182" s="1">
        <v>1577</v>
      </c>
      <c r="L182" s="1">
        <v>4248</v>
      </c>
      <c r="M182" s="2">
        <v>4.8505756681491333E-2</v>
      </c>
      <c r="N182" s="1">
        <v>6</v>
      </c>
      <c r="O182" s="1">
        <v>0</v>
      </c>
      <c r="P182" s="1">
        <v>67</v>
      </c>
      <c r="Q182" s="1">
        <v>315</v>
      </c>
      <c r="R182" s="1">
        <v>4</v>
      </c>
      <c r="S182" s="4">
        <v>12</v>
      </c>
      <c r="T182" s="1" t="s">
        <v>787</v>
      </c>
    </row>
    <row r="183" spans="1:20" x14ac:dyDescent="0.3">
      <c r="A183" s="3">
        <v>6793</v>
      </c>
      <c r="B183" s="1" t="s">
        <v>326</v>
      </c>
      <c r="C183" s="1" t="s">
        <v>327</v>
      </c>
      <c r="D183" s="1" t="s">
        <v>20</v>
      </c>
      <c r="E183" s="11">
        <v>45596</v>
      </c>
      <c r="F183" s="1">
        <v>326964</v>
      </c>
      <c r="G183" s="1">
        <v>144</v>
      </c>
      <c r="H183" s="1">
        <v>17049</v>
      </c>
      <c r="I183" s="1">
        <v>850</v>
      </c>
      <c r="J183" s="1">
        <v>2927</v>
      </c>
      <c r="K183" s="1">
        <v>29951</v>
      </c>
      <c r="L183" s="1">
        <v>107768</v>
      </c>
      <c r="M183" s="2">
        <v>6.369508569750798E-2</v>
      </c>
      <c r="N183" s="1">
        <v>8</v>
      </c>
      <c r="O183" s="1">
        <v>0</v>
      </c>
      <c r="P183" s="1">
        <v>1526</v>
      </c>
      <c r="Q183" s="1">
        <v>1800</v>
      </c>
      <c r="R183" s="1">
        <v>0</v>
      </c>
      <c r="S183" s="4">
        <v>18</v>
      </c>
      <c r="T183" s="1" t="s">
        <v>793</v>
      </c>
    </row>
    <row r="184" spans="1:20" x14ac:dyDescent="0.3">
      <c r="A184" s="3">
        <v>2879</v>
      </c>
      <c r="B184" s="1" t="s">
        <v>149</v>
      </c>
      <c r="C184" s="1" t="s">
        <v>328</v>
      </c>
      <c r="D184" s="1" t="s">
        <v>38</v>
      </c>
      <c r="E184" s="11">
        <v>45571</v>
      </c>
      <c r="F184" s="1">
        <v>57843</v>
      </c>
      <c r="G184" s="1">
        <v>564</v>
      </c>
      <c r="H184" s="1">
        <v>271</v>
      </c>
      <c r="I184" s="1">
        <v>12</v>
      </c>
      <c r="J184" s="1">
        <v>79</v>
      </c>
      <c r="K184" s="1">
        <v>1174</v>
      </c>
      <c r="L184" s="1">
        <v>1679</v>
      </c>
      <c r="M184" s="2">
        <v>6.2583199349964562E-3</v>
      </c>
      <c r="N184" s="1">
        <v>9</v>
      </c>
      <c r="O184" s="1">
        <v>33</v>
      </c>
      <c r="P184" s="1">
        <v>5</v>
      </c>
      <c r="Q184" s="1">
        <v>203</v>
      </c>
      <c r="R184" s="1">
        <v>19</v>
      </c>
      <c r="S184" s="4">
        <v>12</v>
      </c>
      <c r="T184" s="1" t="s">
        <v>787</v>
      </c>
    </row>
    <row r="185" spans="1:20" x14ac:dyDescent="0.3">
      <c r="A185" s="3">
        <v>2709</v>
      </c>
      <c r="B185" s="1" t="s">
        <v>329</v>
      </c>
      <c r="C185" s="1" t="s">
        <v>330</v>
      </c>
      <c r="D185" s="1" t="s">
        <v>38</v>
      </c>
      <c r="E185" s="11">
        <v>45461</v>
      </c>
      <c r="F185" s="1">
        <v>361799</v>
      </c>
      <c r="G185" s="1">
        <v>893</v>
      </c>
      <c r="H185" s="1">
        <v>44671</v>
      </c>
      <c r="I185" s="1">
        <v>3692</v>
      </c>
      <c r="J185" s="1">
        <v>2684</v>
      </c>
      <c r="K185" s="1">
        <v>178936</v>
      </c>
      <c r="L185" s="1">
        <v>155057</v>
      </c>
      <c r="M185" s="2">
        <v>0.14109215337798059</v>
      </c>
      <c r="N185" s="1">
        <v>6</v>
      </c>
      <c r="O185" s="1">
        <v>33</v>
      </c>
      <c r="P185" s="1">
        <v>3164</v>
      </c>
      <c r="Q185" s="1">
        <v>22458</v>
      </c>
      <c r="R185" s="1">
        <v>1402</v>
      </c>
      <c r="S185" s="4">
        <v>12</v>
      </c>
      <c r="T185" s="1" t="s">
        <v>787</v>
      </c>
    </row>
    <row r="186" spans="1:20" x14ac:dyDescent="0.3">
      <c r="A186" s="3">
        <v>7253</v>
      </c>
      <c r="B186" s="1" t="s">
        <v>102</v>
      </c>
      <c r="C186" s="1" t="s">
        <v>331</v>
      </c>
      <c r="D186" s="1" t="s">
        <v>38</v>
      </c>
      <c r="E186" s="11">
        <v>45532</v>
      </c>
      <c r="F186" s="1">
        <v>494044</v>
      </c>
      <c r="G186" s="1">
        <v>1508</v>
      </c>
      <c r="H186" s="1">
        <v>11016</v>
      </c>
      <c r="I186" s="1">
        <v>1084</v>
      </c>
      <c r="J186" s="1">
        <v>384</v>
      </c>
      <c r="K186" s="1">
        <v>25546</v>
      </c>
      <c r="L186" s="1">
        <v>48884</v>
      </c>
      <c r="M186" s="2">
        <v>2.5269004380176666E-2</v>
      </c>
      <c r="N186" s="1">
        <v>6</v>
      </c>
      <c r="O186" s="1">
        <v>36</v>
      </c>
      <c r="P186" s="1">
        <v>300</v>
      </c>
      <c r="Q186" s="1">
        <v>2803</v>
      </c>
      <c r="R186" s="1">
        <v>50</v>
      </c>
      <c r="S186" s="4">
        <v>13</v>
      </c>
      <c r="T186" s="1" t="s">
        <v>782</v>
      </c>
    </row>
    <row r="187" spans="1:20" x14ac:dyDescent="0.3">
      <c r="A187" s="3">
        <v>5107</v>
      </c>
      <c r="B187" s="1" t="s">
        <v>332</v>
      </c>
      <c r="C187" s="1" t="s">
        <v>333</v>
      </c>
      <c r="D187" s="1" t="s">
        <v>20</v>
      </c>
      <c r="E187" s="11">
        <v>45458</v>
      </c>
      <c r="F187" s="1">
        <v>80702</v>
      </c>
      <c r="G187" s="1">
        <v>1242</v>
      </c>
      <c r="H187" s="1">
        <v>6534</v>
      </c>
      <c r="I187" s="1">
        <v>597</v>
      </c>
      <c r="J187" s="1">
        <v>1689</v>
      </c>
      <c r="K187" s="1">
        <v>8986</v>
      </c>
      <c r="L187" s="1">
        <v>38124</v>
      </c>
      <c r="M187" s="2">
        <v>0.10929097172312954</v>
      </c>
      <c r="N187" s="1">
        <v>13</v>
      </c>
      <c r="O187" s="1">
        <v>0</v>
      </c>
      <c r="P187" s="1">
        <v>592</v>
      </c>
      <c r="Q187" s="1">
        <v>696</v>
      </c>
      <c r="R187" s="1">
        <v>30</v>
      </c>
      <c r="S187" s="4">
        <v>17</v>
      </c>
      <c r="T187" s="1" t="s">
        <v>791</v>
      </c>
    </row>
    <row r="188" spans="1:20" x14ac:dyDescent="0.3">
      <c r="A188" s="3">
        <v>6799</v>
      </c>
      <c r="B188" s="1" t="s">
        <v>119</v>
      </c>
      <c r="C188" s="1" t="s">
        <v>334</v>
      </c>
      <c r="D188" s="1" t="s">
        <v>38</v>
      </c>
      <c r="E188" s="11">
        <v>45593</v>
      </c>
      <c r="F188" s="1">
        <v>271662</v>
      </c>
      <c r="G188" s="1">
        <v>466</v>
      </c>
      <c r="H188" s="1">
        <v>28958</v>
      </c>
      <c r="I188" s="1">
        <v>1051</v>
      </c>
      <c r="J188" s="1">
        <v>3581</v>
      </c>
      <c r="K188" s="1">
        <v>53281</v>
      </c>
      <c r="L188" s="1">
        <v>105513</v>
      </c>
      <c r="M188" s="2">
        <v>0.12364629576458983</v>
      </c>
      <c r="N188" s="1">
        <v>8</v>
      </c>
      <c r="O188" s="1">
        <v>20</v>
      </c>
      <c r="P188" s="1">
        <v>2291</v>
      </c>
      <c r="Q188" s="1">
        <v>10147</v>
      </c>
      <c r="R188" s="1">
        <v>0</v>
      </c>
      <c r="S188" s="4">
        <v>13</v>
      </c>
      <c r="T188" s="1" t="s">
        <v>782</v>
      </c>
    </row>
    <row r="189" spans="1:20" x14ac:dyDescent="0.3">
      <c r="A189" s="3">
        <v>7654</v>
      </c>
      <c r="B189" s="1" t="s">
        <v>198</v>
      </c>
      <c r="C189" s="1" t="s">
        <v>335</v>
      </c>
      <c r="D189" s="1" t="s">
        <v>15</v>
      </c>
      <c r="E189" s="11">
        <v>45389</v>
      </c>
      <c r="F189" s="1">
        <v>28791</v>
      </c>
      <c r="G189" s="1">
        <v>1767</v>
      </c>
      <c r="H189" s="1">
        <v>352</v>
      </c>
      <c r="I189" s="1">
        <v>37</v>
      </c>
      <c r="J189" s="1">
        <v>93</v>
      </c>
      <c r="K189" s="1">
        <v>889</v>
      </c>
      <c r="L189" s="1">
        <v>1574</v>
      </c>
      <c r="M189" s="2">
        <v>1.6741342780730088E-2</v>
      </c>
      <c r="N189" s="1">
        <v>17</v>
      </c>
      <c r="O189" s="1">
        <v>0</v>
      </c>
      <c r="P189" s="1">
        <v>10</v>
      </c>
      <c r="Q189" s="1">
        <v>129</v>
      </c>
      <c r="R189" s="1">
        <v>7</v>
      </c>
      <c r="S189" s="4">
        <v>11</v>
      </c>
      <c r="T189" s="1" t="s">
        <v>785</v>
      </c>
    </row>
    <row r="190" spans="1:20" x14ac:dyDescent="0.3">
      <c r="A190" s="3">
        <v>7365</v>
      </c>
      <c r="B190" s="1" t="s">
        <v>78</v>
      </c>
      <c r="C190" s="1" t="s">
        <v>336</v>
      </c>
      <c r="D190" s="1" t="s">
        <v>38</v>
      </c>
      <c r="E190" s="11">
        <v>45586</v>
      </c>
      <c r="F190" s="1">
        <v>447142</v>
      </c>
      <c r="G190" s="1">
        <v>1525</v>
      </c>
      <c r="H190" s="1">
        <v>65377</v>
      </c>
      <c r="I190" s="1">
        <v>10666</v>
      </c>
      <c r="J190" s="1">
        <v>3880</v>
      </c>
      <c r="K190" s="1">
        <v>275299</v>
      </c>
      <c r="L190" s="1">
        <v>421041</v>
      </c>
      <c r="M190" s="2">
        <v>0.17874187618251025</v>
      </c>
      <c r="N190" s="1">
        <v>7</v>
      </c>
      <c r="O190" s="1">
        <v>38</v>
      </c>
      <c r="P190" s="1">
        <v>4550</v>
      </c>
      <c r="Q190" s="1">
        <v>27905</v>
      </c>
      <c r="R190" s="1">
        <v>1742</v>
      </c>
      <c r="S190" s="4">
        <v>21</v>
      </c>
      <c r="T190" s="1" t="s">
        <v>799</v>
      </c>
    </row>
    <row r="191" spans="1:20" x14ac:dyDescent="0.3">
      <c r="A191" s="3">
        <v>3902</v>
      </c>
      <c r="B191" s="1" t="s">
        <v>49</v>
      </c>
      <c r="C191" s="1" t="s">
        <v>337</v>
      </c>
      <c r="D191" s="1" t="s">
        <v>38</v>
      </c>
      <c r="E191" s="11">
        <v>45399</v>
      </c>
      <c r="F191" s="1">
        <v>350342</v>
      </c>
      <c r="G191" s="1">
        <v>1964</v>
      </c>
      <c r="H191" s="1">
        <v>7868</v>
      </c>
      <c r="I191" s="1">
        <v>603</v>
      </c>
      <c r="J191" s="1">
        <v>1772</v>
      </c>
      <c r="K191" s="1">
        <v>31440</v>
      </c>
      <c r="L191" s="1">
        <v>55109</v>
      </c>
      <c r="M191" s="2">
        <v>2.9237145417905931E-2</v>
      </c>
      <c r="N191" s="1">
        <v>12</v>
      </c>
      <c r="O191" s="1">
        <v>44</v>
      </c>
      <c r="P191" s="1">
        <v>465</v>
      </c>
      <c r="Q191" s="1">
        <v>2247</v>
      </c>
      <c r="R191" s="1">
        <v>166</v>
      </c>
      <c r="S191" s="4">
        <v>6</v>
      </c>
      <c r="T191" s="1" t="s">
        <v>792</v>
      </c>
    </row>
    <row r="192" spans="1:20" x14ac:dyDescent="0.3">
      <c r="A192" s="3">
        <v>3353</v>
      </c>
      <c r="B192" s="1" t="s">
        <v>338</v>
      </c>
      <c r="C192" s="1" t="s">
        <v>339</v>
      </c>
      <c r="D192" s="1" t="s">
        <v>15</v>
      </c>
      <c r="E192" s="11">
        <v>45641</v>
      </c>
      <c r="F192" s="1">
        <v>203335</v>
      </c>
      <c r="G192" s="1">
        <v>625</v>
      </c>
      <c r="H192" s="1">
        <v>15709</v>
      </c>
      <c r="I192" s="1">
        <v>830</v>
      </c>
      <c r="J192" s="1">
        <v>760</v>
      </c>
      <c r="K192" s="1">
        <v>75288</v>
      </c>
      <c r="L192" s="1">
        <v>93614</v>
      </c>
      <c r="M192" s="2">
        <v>8.5076351833181699E-2</v>
      </c>
      <c r="N192" s="1">
        <v>15</v>
      </c>
      <c r="O192" s="1">
        <v>0</v>
      </c>
      <c r="P192" s="1">
        <v>1530</v>
      </c>
      <c r="Q192" s="1">
        <v>10984</v>
      </c>
      <c r="R192" s="1">
        <v>1090</v>
      </c>
      <c r="S192" s="4">
        <v>22</v>
      </c>
      <c r="T192" s="1" t="s">
        <v>784</v>
      </c>
    </row>
    <row r="193" spans="1:20" x14ac:dyDescent="0.3">
      <c r="A193" s="3">
        <v>9294</v>
      </c>
      <c r="B193" s="1" t="s">
        <v>128</v>
      </c>
      <c r="C193" s="1" t="s">
        <v>340</v>
      </c>
      <c r="D193" s="1" t="s">
        <v>38</v>
      </c>
      <c r="E193" s="11">
        <v>45580</v>
      </c>
      <c r="F193" s="1">
        <v>340344</v>
      </c>
      <c r="G193" s="1">
        <v>1819</v>
      </c>
      <c r="H193" s="1">
        <v>2548</v>
      </c>
      <c r="I193" s="1">
        <v>412</v>
      </c>
      <c r="J193" s="1">
        <v>735</v>
      </c>
      <c r="K193" s="1">
        <v>12116</v>
      </c>
      <c r="L193" s="1">
        <v>14471</v>
      </c>
      <c r="M193" s="2">
        <v>1.0856662670709635E-2</v>
      </c>
      <c r="N193" s="1">
        <v>20</v>
      </c>
      <c r="O193" s="1">
        <v>11</v>
      </c>
      <c r="P193" s="1">
        <v>85</v>
      </c>
      <c r="Q193" s="1">
        <v>671</v>
      </c>
      <c r="R193" s="1">
        <v>12</v>
      </c>
      <c r="S193" s="4">
        <v>18</v>
      </c>
      <c r="T193" s="1" t="s">
        <v>793</v>
      </c>
    </row>
    <row r="194" spans="1:20" x14ac:dyDescent="0.3">
      <c r="A194" s="3">
        <v>9227</v>
      </c>
      <c r="B194" s="1" t="s">
        <v>341</v>
      </c>
      <c r="C194" s="1" t="s">
        <v>342</v>
      </c>
      <c r="D194" s="1" t="s">
        <v>38</v>
      </c>
      <c r="E194" s="11">
        <v>45415</v>
      </c>
      <c r="F194" s="1">
        <v>165870</v>
      </c>
      <c r="G194" s="1">
        <v>1529</v>
      </c>
      <c r="H194" s="1">
        <v>16569</v>
      </c>
      <c r="I194" s="1">
        <v>1458</v>
      </c>
      <c r="J194" s="1">
        <v>2457</v>
      </c>
      <c r="K194" s="1">
        <v>25019</v>
      </c>
      <c r="L194" s="1">
        <v>82470</v>
      </c>
      <c r="M194" s="2">
        <v>0.12349430276722735</v>
      </c>
      <c r="N194" s="1">
        <v>15</v>
      </c>
      <c r="O194" s="1">
        <v>17</v>
      </c>
      <c r="P194" s="1">
        <v>1542</v>
      </c>
      <c r="Q194" s="1">
        <v>4263</v>
      </c>
      <c r="R194" s="1">
        <v>355</v>
      </c>
      <c r="S194" s="4">
        <v>9</v>
      </c>
      <c r="T194" s="1" t="s">
        <v>798</v>
      </c>
    </row>
    <row r="195" spans="1:20" x14ac:dyDescent="0.3">
      <c r="A195" s="3">
        <v>8846</v>
      </c>
      <c r="B195" s="1" t="s">
        <v>343</v>
      </c>
      <c r="C195" s="1" t="s">
        <v>344</v>
      </c>
      <c r="D195" s="1" t="s">
        <v>15</v>
      </c>
      <c r="E195" s="11">
        <v>45547</v>
      </c>
      <c r="F195" s="1">
        <v>171520</v>
      </c>
      <c r="G195" s="1">
        <v>739</v>
      </c>
      <c r="H195" s="1">
        <v>9457</v>
      </c>
      <c r="I195" s="1">
        <v>139</v>
      </c>
      <c r="J195" s="1">
        <v>1230</v>
      </c>
      <c r="K195" s="1">
        <v>47117</v>
      </c>
      <c r="L195" s="1">
        <v>33018</v>
      </c>
      <c r="M195" s="2">
        <v>6.3118003731343283E-2</v>
      </c>
      <c r="N195" s="1">
        <v>23</v>
      </c>
      <c r="O195" s="1">
        <v>0</v>
      </c>
      <c r="P195" s="1">
        <v>695</v>
      </c>
      <c r="Q195" s="1">
        <v>4498</v>
      </c>
      <c r="R195" s="1">
        <v>299</v>
      </c>
      <c r="S195" s="4">
        <v>12</v>
      </c>
      <c r="T195" s="1" t="s">
        <v>787</v>
      </c>
    </row>
    <row r="196" spans="1:20" x14ac:dyDescent="0.3">
      <c r="A196" s="3">
        <v>1349</v>
      </c>
      <c r="B196" s="1" t="s">
        <v>345</v>
      </c>
      <c r="C196" s="1" t="s">
        <v>346</v>
      </c>
      <c r="D196" s="1" t="s">
        <v>20</v>
      </c>
      <c r="E196" s="11">
        <v>45330</v>
      </c>
      <c r="F196" s="1">
        <v>488161</v>
      </c>
      <c r="G196" s="1">
        <v>114</v>
      </c>
      <c r="H196" s="1">
        <v>39971</v>
      </c>
      <c r="I196" s="1">
        <v>5568</v>
      </c>
      <c r="J196" s="1">
        <v>4315</v>
      </c>
      <c r="K196" s="1">
        <v>61609</v>
      </c>
      <c r="L196" s="1">
        <v>242253</v>
      </c>
      <c r="M196" s="2">
        <v>0.10212614280944196</v>
      </c>
      <c r="N196" s="1">
        <v>20</v>
      </c>
      <c r="O196" s="1">
        <v>0</v>
      </c>
      <c r="P196" s="1">
        <v>1002</v>
      </c>
      <c r="Q196" s="1">
        <v>12316</v>
      </c>
      <c r="R196" s="1">
        <v>843</v>
      </c>
      <c r="S196" s="4">
        <v>13</v>
      </c>
      <c r="T196" s="1" t="s">
        <v>782</v>
      </c>
    </row>
    <row r="197" spans="1:20" x14ac:dyDescent="0.3">
      <c r="A197" s="3">
        <v>1922</v>
      </c>
      <c r="B197" s="1" t="s">
        <v>55</v>
      </c>
      <c r="C197" s="1" t="s">
        <v>347</v>
      </c>
      <c r="D197" s="1" t="s">
        <v>15</v>
      </c>
      <c r="E197" s="11">
        <v>45488</v>
      </c>
      <c r="F197" s="1">
        <v>83990</v>
      </c>
      <c r="G197" s="1">
        <v>1343</v>
      </c>
      <c r="H197" s="1">
        <v>8523</v>
      </c>
      <c r="I197" s="1">
        <v>467</v>
      </c>
      <c r="J197" s="1">
        <v>2262</v>
      </c>
      <c r="K197" s="1">
        <v>13695</v>
      </c>
      <c r="L197" s="1">
        <v>52839</v>
      </c>
      <c r="M197" s="2">
        <v>0.13396832956304322</v>
      </c>
      <c r="N197" s="1">
        <v>25</v>
      </c>
      <c r="O197" s="1">
        <v>0</v>
      </c>
      <c r="P197" s="1">
        <v>518</v>
      </c>
      <c r="Q197" s="1">
        <v>1679</v>
      </c>
      <c r="R197" s="1">
        <v>141</v>
      </c>
      <c r="S197" s="4">
        <v>10</v>
      </c>
      <c r="T197" s="1" t="s">
        <v>783</v>
      </c>
    </row>
    <row r="198" spans="1:20" x14ac:dyDescent="0.3">
      <c r="A198" s="3">
        <v>4827</v>
      </c>
      <c r="B198" s="1" t="s">
        <v>182</v>
      </c>
      <c r="C198" s="1" t="s">
        <v>348</v>
      </c>
      <c r="D198" s="1" t="s">
        <v>38</v>
      </c>
      <c r="E198" s="11">
        <v>45321</v>
      </c>
      <c r="F198" s="1">
        <v>289888</v>
      </c>
      <c r="G198" s="1">
        <v>328</v>
      </c>
      <c r="H198" s="1">
        <v>37633</v>
      </c>
      <c r="I198" s="1">
        <v>5372</v>
      </c>
      <c r="J198" s="1">
        <v>5482</v>
      </c>
      <c r="K198" s="1">
        <v>136705</v>
      </c>
      <c r="L198" s="1">
        <v>197333</v>
      </c>
      <c r="M198" s="2">
        <v>0.16726114913345844</v>
      </c>
      <c r="N198" s="1">
        <v>5</v>
      </c>
      <c r="O198" s="1">
        <v>16</v>
      </c>
      <c r="P198" s="1">
        <v>3513</v>
      </c>
      <c r="Q198" s="1">
        <v>20504</v>
      </c>
      <c r="R198" s="1">
        <v>1463</v>
      </c>
      <c r="S198" s="4">
        <v>23</v>
      </c>
      <c r="T198" s="1" t="s">
        <v>786</v>
      </c>
    </row>
    <row r="199" spans="1:20" x14ac:dyDescent="0.3">
      <c r="A199" s="3">
        <v>2016</v>
      </c>
      <c r="B199" s="1" t="s">
        <v>349</v>
      </c>
      <c r="C199" s="1" t="s">
        <v>350</v>
      </c>
      <c r="D199" s="1" t="s">
        <v>20</v>
      </c>
      <c r="E199" s="11">
        <v>45633</v>
      </c>
      <c r="F199" s="1">
        <v>303426</v>
      </c>
      <c r="G199" s="1">
        <v>1481</v>
      </c>
      <c r="H199" s="1">
        <v>29708</v>
      </c>
      <c r="I199" s="1">
        <v>3735</v>
      </c>
      <c r="J199" s="1">
        <v>8632</v>
      </c>
      <c r="K199" s="1">
        <v>118993</v>
      </c>
      <c r="L199" s="1">
        <v>60896</v>
      </c>
      <c r="M199" s="2">
        <v>0.13866642937652013</v>
      </c>
      <c r="N199" s="1">
        <v>12</v>
      </c>
      <c r="O199" s="1">
        <v>0</v>
      </c>
      <c r="P199" s="1">
        <v>2899</v>
      </c>
      <c r="Q199" s="1">
        <v>9091</v>
      </c>
      <c r="R199" s="1">
        <v>0</v>
      </c>
      <c r="S199" s="4">
        <v>22</v>
      </c>
      <c r="T199" s="1" t="s">
        <v>784</v>
      </c>
    </row>
    <row r="200" spans="1:20" x14ac:dyDescent="0.3">
      <c r="A200" s="3">
        <v>3305</v>
      </c>
      <c r="B200" s="1" t="s">
        <v>351</v>
      </c>
      <c r="C200" s="1" t="s">
        <v>352</v>
      </c>
      <c r="D200" s="1" t="s">
        <v>38</v>
      </c>
      <c r="E200" s="11">
        <v>45534</v>
      </c>
      <c r="F200" s="1">
        <v>437070</v>
      </c>
      <c r="G200" s="1">
        <v>318</v>
      </c>
      <c r="H200" s="1">
        <v>45412</v>
      </c>
      <c r="I200" s="1">
        <v>2656</v>
      </c>
      <c r="J200" s="1">
        <v>5727</v>
      </c>
      <c r="K200" s="1">
        <v>99102</v>
      </c>
      <c r="L200" s="1">
        <v>113192</v>
      </c>
      <c r="M200" s="2">
        <v>0.12308097101150846</v>
      </c>
      <c r="N200" s="1">
        <v>17</v>
      </c>
      <c r="O200" s="1">
        <v>41</v>
      </c>
      <c r="P200" s="1">
        <v>1381</v>
      </c>
      <c r="Q200" s="1">
        <v>15950</v>
      </c>
      <c r="R200" s="1">
        <v>848</v>
      </c>
      <c r="S200" s="4">
        <v>18</v>
      </c>
      <c r="T200" s="1" t="s">
        <v>793</v>
      </c>
    </row>
    <row r="201" spans="1:20" x14ac:dyDescent="0.3">
      <c r="A201" s="3">
        <v>9577</v>
      </c>
      <c r="B201" s="1" t="s">
        <v>115</v>
      </c>
      <c r="C201" s="1" t="s">
        <v>353</v>
      </c>
      <c r="D201" s="1" t="s">
        <v>15</v>
      </c>
      <c r="E201" s="11">
        <v>45647</v>
      </c>
      <c r="F201" s="1">
        <v>80198</v>
      </c>
      <c r="G201" s="1">
        <v>661</v>
      </c>
      <c r="H201" s="1">
        <v>5252</v>
      </c>
      <c r="I201" s="1">
        <v>844</v>
      </c>
      <c r="J201" s="1">
        <v>175</v>
      </c>
      <c r="K201" s="1">
        <v>24867</v>
      </c>
      <c r="L201" s="1">
        <v>17363</v>
      </c>
      <c r="M201" s="2">
        <v>7.8193969924437015E-2</v>
      </c>
      <c r="N201" s="1">
        <v>16</v>
      </c>
      <c r="O201" s="1">
        <v>0</v>
      </c>
      <c r="P201" s="1">
        <v>403</v>
      </c>
      <c r="Q201" s="1">
        <v>4735</v>
      </c>
      <c r="R201" s="1">
        <v>0</v>
      </c>
      <c r="S201" s="4">
        <v>15</v>
      </c>
      <c r="T201" s="1" t="s">
        <v>789</v>
      </c>
    </row>
    <row r="202" spans="1:20" x14ac:dyDescent="0.3">
      <c r="A202" s="3">
        <v>9011</v>
      </c>
      <c r="B202" s="1" t="s">
        <v>354</v>
      </c>
      <c r="C202" s="1" t="s">
        <v>355</v>
      </c>
      <c r="D202" s="1" t="s">
        <v>38</v>
      </c>
      <c r="E202" s="11">
        <v>45530</v>
      </c>
      <c r="F202" s="1">
        <v>49044</v>
      </c>
      <c r="G202" s="1">
        <v>1474</v>
      </c>
      <c r="H202" s="1">
        <v>2829</v>
      </c>
      <c r="I202" s="1">
        <v>147</v>
      </c>
      <c r="J202" s="1">
        <v>454</v>
      </c>
      <c r="K202" s="1">
        <v>6703</v>
      </c>
      <c r="L202" s="1">
        <v>13236</v>
      </c>
      <c r="M202" s="2">
        <v>6.9937199249653373E-2</v>
      </c>
      <c r="N202" s="1">
        <v>19</v>
      </c>
      <c r="O202" s="1">
        <v>18</v>
      </c>
      <c r="P202" s="1">
        <v>259</v>
      </c>
      <c r="Q202" s="1">
        <v>991</v>
      </c>
      <c r="R202" s="1">
        <v>3</v>
      </c>
      <c r="S202" s="4">
        <v>23</v>
      </c>
      <c r="T202" s="1" t="s">
        <v>786</v>
      </c>
    </row>
    <row r="203" spans="1:20" x14ac:dyDescent="0.3">
      <c r="A203" s="3">
        <v>1433</v>
      </c>
      <c r="B203" s="1" t="s">
        <v>356</v>
      </c>
      <c r="C203" s="1" t="s">
        <v>357</v>
      </c>
      <c r="D203" s="1" t="s">
        <v>15</v>
      </c>
      <c r="E203" s="11">
        <v>45505</v>
      </c>
      <c r="F203" s="1">
        <v>62432</v>
      </c>
      <c r="G203" s="1">
        <v>304</v>
      </c>
      <c r="H203" s="1">
        <v>6300</v>
      </c>
      <c r="I203" s="1">
        <v>44</v>
      </c>
      <c r="J203" s="1">
        <v>1634</v>
      </c>
      <c r="K203" s="1">
        <v>7647</v>
      </c>
      <c r="L203" s="1">
        <v>42330</v>
      </c>
      <c r="M203" s="2">
        <v>0.12778703229113275</v>
      </c>
      <c r="N203" s="1">
        <v>12</v>
      </c>
      <c r="O203" s="1">
        <v>0</v>
      </c>
      <c r="P203" s="1">
        <v>480</v>
      </c>
      <c r="Q203" s="1">
        <v>927</v>
      </c>
      <c r="R203" s="1">
        <v>13</v>
      </c>
      <c r="S203" s="4">
        <v>8</v>
      </c>
      <c r="T203" s="1" t="s">
        <v>796</v>
      </c>
    </row>
    <row r="204" spans="1:20" x14ac:dyDescent="0.3">
      <c r="A204" s="3">
        <v>2861</v>
      </c>
      <c r="B204" s="1" t="s">
        <v>358</v>
      </c>
      <c r="C204" s="1" t="s">
        <v>359</v>
      </c>
      <c r="D204" s="1" t="s">
        <v>15</v>
      </c>
      <c r="E204" s="11">
        <v>45423</v>
      </c>
      <c r="F204" s="1">
        <v>328306</v>
      </c>
      <c r="G204" s="1">
        <v>292</v>
      </c>
      <c r="H204" s="1">
        <v>43215</v>
      </c>
      <c r="I204" s="1">
        <v>397</v>
      </c>
      <c r="J204" s="1">
        <v>1206</v>
      </c>
      <c r="K204" s="1">
        <v>140448</v>
      </c>
      <c r="L204" s="1">
        <v>243438</v>
      </c>
      <c r="M204" s="2">
        <v>0.13651288736727321</v>
      </c>
      <c r="N204" s="1">
        <v>15</v>
      </c>
      <c r="O204" s="1">
        <v>0</v>
      </c>
      <c r="P204" s="1">
        <v>3570</v>
      </c>
      <c r="Q204" s="1">
        <v>23289</v>
      </c>
      <c r="R204" s="1">
        <v>831</v>
      </c>
      <c r="S204" s="4">
        <v>10</v>
      </c>
      <c r="T204" s="1" t="s">
        <v>783</v>
      </c>
    </row>
    <row r="205" spans="1:20" x14ac:dyDescent="0.3">
      <c r="A205" s="3">
        <v>6546</v>
      </c>
      <c r="B205" s="1" t="s">
        <v>27</v>
      </c>
      <c r="C205" s="1" t="s">
        <v>360</v>
      </c>
      <c r="D205" s="1" t="s">
        <v>15</v>
      </c>
      <c r="E205" s="11">
        <v>45478</v>
      </c>
      <c r="F205" s="1">
        <v>310028</v>
      </c>
      <c r="G205" s="1">
        <v>1592</v>
      </c>
      <c r="H205" s="1">
        <v>3668</v>
      </c>
      <c r="I205" s="1">
        <v>74</v>
      </c>
      <c r="J205" s="1">
        <v>339</v>
      </c>
      <c r="K205" s="1">
        <v>4889</v>
      </c>
      <c r="L205" s="1">
        <v>15575</v>
      </c>
      <c r="M205" s="2">
        <v>1.316332718335118E-2</v>
      </c>
      <c r="N205" s="1">
        <v>3</v>
      </c>
      <c r="O205" s="1">
        <v>0</v>
      </c>
      <c r="P205" s="1">
        <v>210</v>
      </c>
      <c r="Q205" s="1">
        <v>452</v>
      </c>
      <c r="R205" s="1">
        <v>11</v>
      </c>
      <c r="S205" s="4">
        <v>21</v>
      </c>
      <c r="T205" s="1" t="s">
        <v>799</v>
      </c>
    </row>
    <row r="206" spans="1:20" x14ac:dyDescent="0.3">
      <c r="A206" s="3">
        <v>5889</v>
      </c>
      <c r="B206" s="1" t="s">
        <v>87</v>
      </c>
      <c r="C206" s="1" t="s">
        <v>361</v>
      </c>
      <c r="D206" s="1" t="s">
        <v>20</v>
      </c>
      <c r="E206" s="11">
        <v>45488</v>
      </c>
      <c r="F206" s="1">
        <v>339295</v>
      </c>
      <c r="G206" s="1">
        <v>1232</v>
      </c>
      <c r="H206" s="1">
        <v>2868</v>
      </c>
      <c r="I206" s="1">
        <v>47</v>
      </c>
      <c r="J206" s="1">
        <v>485</v>
      </c>
      <c r="K206" s="1">
        <v>7821</v>
      </c>
      <c r="L206" s="1">
        <v>10539</v>
      </c>
      <c r="M206" s="2">
        <v>1.0020778378697004E-2</v>
      </c>
      <c r="N206" s="1">
        <v>9</v>
      </c>
      <c r="O206" s="1">
        <v>0</v>
      </c>
      <c r="P206" s="1">
        <v>145</v>
      </c>
      <c r="Q206" s="1">
        <v>1186</v>
      </c>
      <c r="R206" s="1">
        <v>16</v>
      </c>
      <c r="S206" s="4">
        <v>9</v>
      </c>
      <c r="T206" s="1" t="s">
        <v>798</v>
      </c>
    </row>
    <row r="207" spans="1:20" x14ac:dyDescent="0.3">
      <c r="A207" s="3">
        <v>5437</v>
      </c>
      <c r="B207" s="1" t="s">
        <v>362</v>
      </c>
      <c r="C207" s="1" t="s">
        <v>363</v>
      </c>
      <c r="D207" s="1" t="s">
        <v>15</v>
      </c>
      <c r="E207" s="11">
        <v>45593</v>
      </c>
      <c r="F207" s="1">
        <v>121908</v>
      </c>
      <c r="G207" s="1">
        <v>130</v>
      </c>
      <c r="H207" s="1">
        <v>12749</v>
      </c>
      <c r="I207" s="1">
        <v>399</v>
      </c>
      <c r="J207" s="1">
        <v>2979</v>
      </c>
      <c r="K207" s="1">
        <v>29314</v>
      </c>
      <c r="L207" s="1">
        <v>72273</v>
      </c>
      <c r="M207" s="2">
        <v>0.13228828296748368</v>
      </c>
      <c r="N207" s="1">
        <v>15</v>
      </c>
      <c r="O207" s="1">
        <v>0</v>
      </c>
      <c r="P207" s="1">
        <v>894</v>
      </c>
      <c r="Q207" s="1">
        <v>3074</v>
      </c>
      <c r="R207" s="1">
        <v>0</v>
      </c>
      <c r="S207" s="4">
        <v>22</v>
      </c>
      <c r="T207" s="1" t="s">
        <v>784</v>
      </c>
    </row>
    <row r="208" spans="1:20" x14ac:dyDescent="0.3">
      <c r="A208" s="3">
        <v>4123</v>
      </c>
      <c r="B208" s="1" t="s">
        <v>174</v>
      </c>
      <c r="C208" s="1" t="s">
        <v>364</v>
      </c>
      <c r="D208" s="1" t="s">
        <v>38</v>
      </c>
      <c r="E208" s="11">
        <v>45610</v>
      </c>
      <c r="F208" s="1">
        <v>179638</v>
      </c>
      <c r="G208" s="1">
        <v>1922</v>
      </c>
      <c r="H208" s="1">
        <v>2191</v>
      </c>
      <c r="I208" s="1">
        <v>390</v>
      </c>
      <c r="J208" s="1">
        <v>515</v>
      </c>
      <c r="K208" s="1">
        <v>10594</v>
      </c>
      <c r="L208" s="1">
        <v>7786</v>
      </c>
      <c r="M208" s="2">
        <v>1.7234660817867044E-2</v>
      </c>
      <c r="N208" s="1">
        <v>9</v>
      </c>
      <c r="O208" s="1">
        <v>21</v>
      </c>
      <c r="P208" s="1">
        <v>73</v>
      </c>
      <c r="Q208" s="1">
        <v>1617</v>
      </c>
      <c r="R208" s="1">
        <v>7</v>
      </c>
      <c r="S208" s="4">
        <v>23</v>
      </c>
      <c r="T208" s="1" t="s">
        <v>786</v>
      </c>
    </row>
    <row r="209" spans="1:20" x14ac:dyDescent="0.3">
      <c r="A209" s="3">
        <v>4564</v>
      </c>
      <c r="B209" s="1" t="s">
        <v>237</v>
      </c>
      <c r="C209" s="1" t="s">
        <v>365</v>
      </c>
      <c r="D209" s="1" t="s">
        <v>15</v>
      </c>
      <c r="E209" s="11">
        <v>45522</v>
      </c>
      <c r="F209" s="1">
        <v>165282</v>
      </c>
      <c r="G209" s="1">
        <v>1579</v>
      </c>
      <c r="H209" s="1">
        <v>7269</v>
      </c>
      <c r="I209" s="1">
        <v>742</v>
      </c>
      <c r="J209" s="1">
        <v>128</v>
      </c>
      <c r="K209" s="1">
        <v>14084</v>
      </c>
      <c r="L209" s="1">
        <v>44320</v>
      </c>
      <c r="M209" s="2">
        <v>4.9243111772606818E-2</v>
      </c>
      <c r="N209" s="1">
        <v>20</v>
      </c>
      <c r="O209" s="1">
        <v>0</v>
      </c>
      <c r="P209" s="1">
        <v>163</v>
      </c>
      <c r="Q209" s="1">
        <v>1885</v>
      </c>
      <c r="R209" s="1">
        <v>0</v>
      </c>
      <c r="S209" s="4">
        <v>12</v>
      </c>
      <c r="T209" s="1" t="s">
        <v>787</v>
      </c>
    </row>
    <row r="210" spans="1:20" x14ac:dyDescent="0.3">
      <c r="A210" s="3">
        <v>3688</v>
      </c>
      <c r="B210" s="1" t="s">
        <v>366</v>
      </c>
      <c r="C210" s="1" t="s">
        <v>367</v>
      </c>
      <c r="D210" s="1" t="s">
        <v>20</v>
      </c>
      <c r="E210" s="11">
        <v>45385</v>
      </c>
      <c r="F210" s="1">
        <v>37118</v>
      </c>
      <c r="G210" s="1">
        <v>1185</v>
      </c>
      <c r="H210" s="1">
        <v>1054</v>
      </c>
      <c r="I210" s="1">
        <v>86</v>
      </c>
      <c r="J210" s="1">
        <v>221</v>
      </c>
      <c r="K210" s="1">
        <v>3699</v>
      </c>
      <c r="L210" s="1">
        <v>7511</v>
      </c>
      <c r="M210" s="2">
        <v>3.6666846274044936E-2</v>
      </c>
      <c r="N210" s="1">
        <v>18</v>
      </c>
      <c r="O210" s="1">
        <v>0</v>
      </c>
      <c r="P210" s="1">
        <v>33</v>
      </c>
      <c r="Q210" s="1">
        <v>661</v>
      </c>
      <c r="R210" s="1">
        <v>29</v>
      </c>
      <c r="S210" s="4">
        <v>10</v>
      </c>
      <c r="T210" s="1" t="s">
        <v>783</v>
      </c>
    </row>
    <row r="211" spans="1:20" x14ac:dyDescent="0.3">
      <c r="A211" s="3">
        <v>1986</v>
      </c>
      <c r="B211" s="1" t="s">
        <v>151</v>
      </c>
      <c r="C211" s="1" t="s">
        <v>368</v>
      </c>
      <c r="D211" s="1" t="s">
        <v>38</v>
      </c>
      <c r="E211" s="11">
        <v>45557</v>
      </c>
      <c r="F211" s="1">
        <v>385523</v>
      </c>
      <c r="G211" s="1">
        <v>1724</v>
      </c>
      <c r="H211" s="1">
        <v>25408</v>
      </c>
      <c r="I211" s="1">
        <v>3036</v>
      </c>
      <c r="J211" s="1">
        <v>3778</v>
      </c>
      <c r="K211" s="1">
        <v>28690</v>
      </c>
      <c r="L211" s="1">
        <v>161632</v>
      </c>
      <c r="M211" s="2">
        <v>8.3579967991533582E-2</v>
      </c>
      <c r="N211" s="1">
        <v>13</v>
      </c>
      <c r="O211" s="1">
        <v>8</v>
      </c>
      <c r="P211" s="1">
        <v>1267</v>
      </c>
      <c r="Q211" s="1">
        <v>4873</v>
      </c>
      <c r="R211" s="1">
        <v>438</v>
      </c>
      <c r="S211" s="4">
        <v>8</v>
      </c>
      <c r="T211" s="1" t="s">
        <v>796</v>
      </c>
    </row>
    <row r="212" spans="1:20" x14ac:dyDescent="0.3">
      <c r="A212" s="3">
        <v>3457</v>
      </c>
      <c r="B212" s="1" t="s">
        <v>369</v>
      </c>
      <c r="C212" s="1" t="s">
        <v>370</v>
      </c>
      <c r="D212" s="1" t="s">
        <v>20</v>
      </c>
      <c r="E212" s="11">
        <v>45594</v>
      </c>
      <c r="F212" s="1">
        <v>390158</v>
      </c>
      <c r="G212" s="1">
        <v>195</v>
      </c>
      <c r="H212" s="1">
        <v>2288</v>
      </c>
      <c r="I212" s="1">
        <v>428</v>
      </c>
      <c r="J212" s="1">
        <v>314</v>
      </c>
      <c r="K212" s="1">
        <v>10449</v>
      </c>
      <c r="L212" s="1">
        <v>12235</v>
      </c>
      <c r="M212" s="2">
        <v>7.7660845093526212E-3</v>
      </c>
      <c r="N212" s="1">
        <v>3</v>
      </c>
      <c r="O212" s="1">
        <v>0</v>
      </c>
      <c r="P212" s="1">
        <v>217</v>
      </c>
      <c r="Q212" s="1">
        <v>1735</v>
      </c>
      <c r="R212" s="1">
        <v>0</v>
      </c>
      <c r="S212" s="4">
        <v>14</v>
      </c>
      <c r="T212" s="1" t="s">
        <v>788</v>
      </c>
    </row>
    <row r="213" spans="1:20" x14ac:dyDescent="0.3">
      <c r="A213" s="3">
        <v>7341</v>
      </c>
      <c r="B213" s="1" t="s">
        <v>100</v>
      </c>
      <c r="C213" s="1" t="s">
        <v>371</v>
      </c>
      <c r="D213" s="1" t="s">
        <v>20</v>
      </c>
      <c r="E213" s="11">
        <v>45648</v>
      </c>
      <c r="F213" s="1">
        <v>484550</v>
      </c>
      <c r="G213" s="1">
        <v>783</v>
      </c>
      <c r="H213" s="1">
        <v>67739</v>
      </c>
      <c r="I213" s="1">
        <v>3845</v>
      </c>
      <c r="J213" s="1">
        <v>2305</v>
      </c>
      <c r="K213" s="1">
        <v>306532</v>
      </c>
      <c r="L213" s="1">
        <v>156900</v>
      </c>
      <c r="M213" s="2">
        <v>0.15248993911876998</v>
      </c>
      <c r="N213" s="1">
        <v>12</v>
      </c>
      <c r="O213" s="1">
        <v>0</v>
      </c>
      <c r="P213" s="1">
        <v>2503</v>
      </c>
      <c r="Q213" s="1">
        <v>17292</v>
      </c>
      <c r="R213" s="1">
        <v>0</v>
      </c>
      <c r="S213" s="4">
        <v>10</v>
      </c>
      <c r="T213" s="1" t="s">
        <v>783</v>
      </c>
    </row>
    <row r="214" spans="1:20" x14ac:dyDescent="0.3">
      <c r="A214" s="3">
        <v>9127</v>
      </c>
      <c r="B214" s="1" t="s">
        <v>16</v>
      </c>
      <c r="C214" s="1" t="s">
        <v>372</v>
      </c>
      <c r="D214" s="1" t="s">
        <v>20</v>
      </c>
      <c r="E214" s="11">
        <v>45486</v>
      </c>
      <c r="F214" s="1">
        <v>486639</v>
      </c>
      <c r="G214" s="1">
        <v>1771</v>
      </c>
      <c r="H214" s="1">
        <v>9677</v>
      </c>
      <c r="I214" s="1">
        <v>1705</v>
      </c>
      <c r="J214" s="1">
        <v>1847</v>
      </c>
      <c r="K214" s="1">
        <v>15885</v>
      </c>
      <c r="L214" s="1">
        <v>67968</v>
      </c>
      <c r="M214" s="2">
        <v>2.7184422128107281E-2</v>
      </c>
      <c r="N214" s="1">
        <v>6</v>
      </c>
      <c r="O214" s="1">
        <v>0</v>
      </c>
      <c r="P214" s="1">
        <v>266</v>
      </c>
      <c r="Q214" s="1">
        <v>2447</v>
      </c>
      <c r="R214" s="1">
        <v>169</v>
      </c>
      <c r="S214" s="4">
        <v>23</v>
      </c>
      <c r="T214" s="1" t="s">
        <v>786</v>
      </c>
    </row>
    <row r="215" spans="1:20" x14ac:dyDescent="0.3">
      <c r="A215" s="3">
        <v>5686</v>
      </c>
      <c r="B215" s="1" t="s">
        <v>239</v>
      </c>
      <c r="C215" s="1" t="s">
        <v>373</v>
      </c>
      <c r="D215" s="1" t="s">
        <v>38</v>
      </c>
      <c r="E215" s="11">
        <v>45592</v>
      </c>
      <c r="F215" s="1">
        <v>191384</v>
      </c>
      <c r="G215" s="1">
        <v>1503</v>
      </c>
      <c r="H215" s="1">
        <v>2314</v>
      </c>
      <c r="I215" s="1">
        <v>48</v>
      </c>
      <c r="J215" s="1">
        <v>46</v>
      </c>
      <c r="K215" s="1">
        <v>4472</v>
      </c>
      <c r="L215" s="1">
        <v>11022</v>
      </c>
      <c r="M215" s="2">
        <v>1.258203402583288E-2</v>
      </c>
      <c r="N215" s="1">
        <v>25</v>
      </c>
      <c r="O215" s="1">
        <v>33</v>
      </c>
      <c r="P215" s="1">
        <v>107</v>
      </c>
      <c r="Q215" s="1">
        <v>756</v>
      </c>
      <c r="R215" s="1">
        <v>0</v>
      </c>
      <c r="S215" s="4">
        <v>15</v>
      </c>
      <c r="T215" s="1" t="s">
        <v>789</v>
      </c>
    </row>
    <row r="216" spans="1:20" x14ac:dyDescent="0.3">
      <c r="A216" s="3">
        <v>6046</v>
      </c>
      <c r="B216" s="1" t="s">
        <v>277</v>
      </c>
      <c r="C216" s="1" t="s">
        <v>374</v>
      </c>
      <c r="D216" s="1" t="s">
        <v>20</v>
      </c>
      <c r="E216" s="11">
        <v>45524</v>
      </c>
      <c r="F216" s="1">
        <v>157527</v>
      </c>
      <c r="G216" s="1">
        <v>255</v>
      </c>
      <c r="H216" s="1">
        <v>23561</v>
      </c>
      <c r="I216" s="1">
        <v>4647</v>
      </c>
      <c r="J216" s="1">
        <v>983</v>
      </c>
      <c r="K216" s="1">
        <v>106101</v>
      </c>
      <c r="L216" s="1">
        <v>68789</v>
      </c>
      <c r="M216" s="2">
        <v>0.18530791546845937</v>
      </c>
      <c r="N216" s="1">
        <v>14</v>
      </c>
      <c r="O216" s="1">
        <v>0</v>
      </c>
      <c r="P216" s="1">
        <v>1032</v>
      </c>
      <c r="Q216" s="1">
        <v>5757</v>
      </c>
      <c r="R216" s="1">
        <v>0</v>
      </c>
      <c r="S216" s="4">
        <v>20</v>
      </c>
      <c r="T216" s="1" t="s">
        <v>797</v>
      </c>
    </row>
    <row r="217" spans="1:20" x14ac:dyDescent="0.3">
      <c r="A217" s="3">
        <v>9620</v>
      </c>
      <c r="B217" s="1" t="s">
        <v>124</v>
      </c>
      <c r="C217" s="1" t="s">
        <v>375</v>
      </c>
      <c r="D217" s="1" t="s">
        <v>20</v>
      </c>
      <c r="E217" s="11">
        <v>45403</v>
      </c>
      <c r="F217" s="1">
        <v>385918</v>
      </c>
      <c r="G217" s="1">
        <v>1325</v>
      </c>
      <c r="H217" s="1">
        <v>51316</v>
      </c>
      <c r="I217" s="1">
        <v>6102</v>
      </c>
      <c r="J217" s="1">
        <v>10995</v>
      </c>
      <c r="K217" s="1">
        <v>218404</v>
      </c>
      <c r="L217" s="1">
        <v>125190</v>
      </c>
      <c r="M217" s="2">
        <v>0.17727341041361119</v>
      </c>
      <c r="N217" s="1">
        <v>4</v>
      </c>
      <c r="O217" s="1">
        <v>0</v>
      </c>
      <c r="P217" s="1">
        <v>1378</v>
      </c>
      <c r="Q217" s="1">
        <v>37016</v>
      </c>
      <c r="R217" s="1">
        <v>0</v>
      </c>
      <c r="S217" s="4">
        <v>14</v>
      </c>
      <c r="T217" s="1" t="s">
        <v>788</v>
      </c>
    </row>
    <row r="218" spans="1:20" x14ac:dyDescent="0.3">
      <c r="A218" s="3">
        <v>6311</v>
      </c>
      <c r="B218" s="1" t="s">
        <v>45</v>
      </c>
      <c r="C218" s="1" t="s">
        <v>376</v>
      </c>
      <c r="D218" s="1" t="s">
        <v>20</v>
      </c>
      <c r="E218" s="11">
        <v>45398</v>
      </c>
      <c r="F218" s="1">
        <v>399966</v>
      </c>
      <c r="G218" s="1">
        <v>1441</v>
      </c>
      <c r="H218" s="1">
        <v>7606</v>
      </c>
      <c r="I218" s="1">
        <v>707</v>
      </c>
      <c r="J218" s="1">
        <v>948</v>
      </c>
      <c r="K218" s="1">
        <v>16291</v>
      </c>
      <c r="L218" s="1">
        <v>20268</v>
      </c>
      <c r="M218" s="2">
        <v>2.3154468129791033E-2</v>
      </c>
      <c r="N218" s="1">
        <v>11</v>
      </c>
      <c r="O218" s="1">
        <v>0</v>
      </c>
      <c r="P218" s="1">
        <v>257</v>
      </c>
      <c r="Q218" s="1">
        <v>919</v>
      </c>
      <c r="R218" s="1">
        <v>0</v>
      </c>
      <c r="S218" s="4">
        <v>6</v>
      </c>
      <c r="T218" s="1" t="s">
        <v>792</v>
      </c>
    </row>
    <row r="219" spans="1:20" x14ac:dyDescent="0.3">
      <c r="A219" s="3">
        <v>6833</v>
      </c>
      <c r="B219" s="1" t="s">
        <v>377</v>
      </c>
      <c r="C219" s="1" t="s">
        <v>378</v>
      </c>
      <c r="D219" s="1" t="s">
        <v>15</v>
      </c>
      <c r="E219" s="11">
        <v>45345</v>
      </c>
      <c r="F219" s="1">
        <v>93415</v>
      </c>
      <c r="G219" s="1">
        <v>610</v>
      </c>
      <c r="H219" s="1">
        <v>13500</v>
      </c>
      <c r="I219" s="1">
        <v>2242</v>
      </c>
      <c r="J219" s="1">
        <v>1074</v>
      </c>
      <c r="K219" s="1">
        <v>32508</v>
      </c>
      <c r="L219" s="1">
        <v>102604</v>
      </c>
      <c r="M219" s="2">
        <v>0.18001391639458331</v>
      </c>
      <c r="N219" s="1">
        <v>5</v>
      </c>
      <c r="O219" s="1">
        <v>0</v>
      </c>
      <c r="P219" s="1">
        <v>844</v>
      </c>
      <c r="Q219" s="1">
        <v>4876</v>
      </c>
      <c r="R219" s="1">
        <v>0</v>
      </c>
      <c r="S219" s="4">
        <v>16</v>
      </c>
      <c r="T219" s="1" t="s">
        <v>790</v>
      </c>
    </row>
    <row r="220" spans="1:20" x14ac:dyDescent="0.3">
      <c r="A220" s="3">
        <v>8411</v>
      </c>
      <c r="B220" s="1" t="s">
        <v>379</v>
      </c>
      <c r="C220" s="1" t="s">
        <v>380</v>
      </c>
      <c r="D220" s="1" t="s">
        <v>38</v>
      </c>
      <c r="E220" s="11">
        <v>45647</v>
      </c>
      <c r="F220" s="1">
        <v>244753</v>
      </c>
      <c r="G220" s="1">
        <v>623</v>
      </c>
      <c r="H220" s="1">
        <v>23562</v>
      </c>
      <c r="I220" s="1">
        <v>3235</v>
      </c>
      <c r="J220" s="1">
        <v>2070</v>
      </c>
      <c r="K220" s="1">
        <v>91610</v>
      </c>
      <c r="L220" s="1">
        <v>95629</v>
      </c>
      <c r="M220" s="2">
        <v>0.11794339599514612</v>
      </c>
      <c r="N220" s="1">
        <v>14</v>
      </c>
      <c r="O220" s="1">
        <v>40</v>
      </c>
      <c r="P220" s="1">
        <v>2325</v>
      </c>
      <c r="Q220" s="1">
        <v>7020</v>
      </c>
      <c r="R220" s="1">
        <v>0</v>
      </c>
      <c r="S220" s="4">
        <v>15</v>
      </c>
      <c r="T220" s="1" t="s">
        <v>789</v>
      </c>
    </row>
    <row r="221" spans="1:20" x14ac:dyDescent="0.3">
      <c r="A221" s="3">
        <v>9441</v>
      </c>
      <c r="B221" s="1" t="s">
        <v>381</v>
      </c>
      <c r="C221" s="1" t="s">
        <v>382</v>
      </c>
      <c r="D221" s="1" t="s">
        <v>38</v>
      </c>
      <c r="E221" s="11">
        <v>45655</v>
      </c>
      <c r="F221" s="1">
        <v>433591</v>
      </c>
      <c r="G221" s="1">
        <v>1208</v>
      </c>
      <c r="H221" s="1">
        <v>59767</v>
      </c>
      <c r="I221" s="1">
        <v>6778</v>
      </c>
      <c r="J221" s="1">
        <v>16954</v>
      </c>
      <c r="K221" s="1">
        <v>216567</v>
      </c>
      <c r="L221" s="1">
        <v>358284</v>
      </c>
      <c r="M221" s="2">
        <v>0.19257549164996507</v>
      </c>
      <c r="N221" s="1">
        <v>19</v>
      </c>
      <c r="O221" s="1">
        <v>36</v>
      </c>
      <c r="P221" s="1">
        <v>1386</v>
      </c>
      <c r="Q221" s="1">
        <v>15550</v>
      </c>
      <c r="R221" s="1">
        <v>851</v>
      </c>
      <c r="S221" s="4">
        <v>10</v>
      </c>
      <c r="T221" s="1" t="s">
        <v>783</v>
      </c>
    </row>
    <row r="222" spans="1:20" x14ac:dyDescent="0.3">
      <c r="A222" s="3">
        <v>1795</v>
      </c>
      <c r="B222" s="1" t="s">
        <v>97</v>
      </c>
      <c r="C222" s="1" t="s">
        <v>383</v>
      </c>
      <c r="D222" s="1" t="s">
        <v>38</v>
      </c>
      <c r="E222" s="11">
        <v>45339</v>
      </c>
      <c r="F222" s="1">
        <v>235722</v>
      </c>
      <c r="G222" s="1">
        <v>575</v>
      </c>
      <c r="H222" s="1">
        <v>8046</v>
      </c>
      <c r="I222" s="1">
        <v>805</v>
      </c>
      <c r="J222" s="1">
        <v>1229</v>
      </c>
      <c r="K222" s="1">
        <v>11725</v>
      </c>
      <c r="L222" s="1">
        <v>50764</v>
      </c>
      <c r="M222" s="2">
        <v>4.2762236872247818E-2</v>
      </c>
      <c r="N222" s="1">
        <v>7</v>
      </c>
      <c r="O222" s="1">
        <v>7</v>
      </c>
      <c r="P222" s="1">
        <v>397</v>
      </c>
      <c r="Q222" s="1">
        <v>1267</v>
      </c>
      <c r="R222" s="1">
        <v>0</v>
      </c>
      <c r="S222" s="4">
        <v>15</v>
      </c>
      <c r="T222" s="1" t="s">
        <v>789</v>
      </c>
    </row>
    <row r="223" spans="1:20" x14ac:dyDescent="0.3">
      <c r="A223" s="3">
        <v>8734</v>
      </c>
      <c r="B223" s="1" t="s">
        <v>384</v>
      </c>
      <c r="C223" s="1" t="s">
        <v>385</v>
      </c>
      <c r="D223" s="1" t="s">
        <v>38</v>
      </c>
      <c r="E223" s="11">
        <v>45449</v>
      </c>
      <c r="F223" s="1">
        <v>493621</v>
      </c>
      <c r="G223" s="1">
        <v>582</v>
      </c>
      <c r="H223" s="1">
        <v>56610</v>
      </c>
      <c r="I223" s="1">
        <v>11228</v>
      </c>
      <c r="J223" s="1">
        <v>4617</v>
      </c>
      <c r="K223" s="1">
        <v>124542</v>
      </c>
      <c r="L223" s="1">
        <v>400737</v>
      </c>
      <c r="M223" s="2">
        <v>0.14678265308809796</v>
      </c>
      <c r="N223" s="1">
        <v>5</v>
      </c>
      <c r="O223" s="1">
        <v>3</v>
      </c>
      <c r="P223" s="1">
        <v>3255</v>
      </c>
      <c r="Q223" s="1">
        <v>16811</v>
      </c>
      <c r="R223" s="1">
        <v>617</v>
      </c>
      <c r="S223" s="4">
        <v>22</v>
      </c>
      <c r="T223" s="1" t="s">
        <v>784</v>
      </c>
    </row>
    <row r="224" spans="1:20" x14ac:dyDescent="0.3">
      <c r="A224" s="3">
        <v>7328</v>
      </c>
      <c r="B224" s="1" t="s">
        <v>386</v>
      </c>
      <c r="C224" s="1" t="s">
        <v>387</v>
      </c>
      <c r="D224" s="1" t="s">
        <v>20</v>
      </c>
      <c r="E224" s="11">
        <v>45453</v>
      </c>
      <c r="F224" s="1">
        <v>248199</v>
      </c>
      <c r="G224" s="1">
        <v>1408</v>
      </c>
      <c r="H224" s="1">
        <v>36198</v>
      </c>
      <c r="I224" s="1">
        <v>7198</v>
      </c>
      <c r="J224" s="1">
        <v>959</v>
      </c>
      <c r="K224" s="1">
        <v>85268</v>
      </c>
      <c r="L224" s="1">
        <v>138491</v>
      </c>
      <c r="M224" s="2">
        <v>0.17870740816844549</v>
      </c>
      <c r="N224" s="1">
        <v>16</v>
      </c>
      <c r="O224" s="1">
        <v>0</v>
      </c>
      <c r="P224" s="1">
        <v>2412</v>
      </c>
      <c r="Q224" s="1">
        <v>9242</v>
      </c>
      <c r="R224" s="1">
        <v>0</v>
      </c>
      <c r="S224" s="4">
        <v>9</v>
      </c>
      <c r="T224" s="1" t="s">
        <v>798</v>
      </c>
    </row>
    <row r="225" spans="1:20" x14ac:dyDescent="0.3">
      <c r="A225" s="3">
        <v>5478</v>
      </c>
      <c r="B225" s="1" t="s">
        <v>388</v>
      </c>
      <c r="C225" s="1" t="s">
        <v>389</v>
      </c>
      <c r="D225" s="1" t="s">
        <v>15</v>
      </c>
      <c r="E225" s="11">
        <v>45341</v>
      </c>
      <c r="F225" s="1">
        <v>262318</v>
      </c>
      <c r="G225" s="1">
        <v>782</v>
      </c>
      <c r="H225" s="1">
        <v>14018</v>
      </c>
      <c r="I225" s="1">
        <v>2255</v>
      </c>
      <c r="J225" s="1">
        <v>2209</v>
      </c>
      <c r="K225" s="1">
        <v>62351</v>
      </c>
      <c r="L225" s="1">
        <v>50491</v>
      </c>
      <c r="M225" s="2">
        <v>7.0456468866032837E-2</v>
      </c>
      <c r="N225" s="1">
        <v>19</v>
      </c>
      <c r="O225" s="1">
        <v>0</v>
      </c>
      <c r="P225" s="1">
        <v>734</v>
      </c>
      <c r="Q225" s="1">
        <v>9716</v>
      </c>
      <c r="R225" s="1">
        <v>340</v>
      </c>
      <c r="S225" s="4">
        <v>12</v>
      </c>
      <c r="T225" s="1" t="s">
        <v>787</v>
      </c>
    </row>
    <row r="226" spans="1:20" x14ac:dyDescent="0.3">
      <c r="A226" s="3">
        <v>9982</v>
      </c>
      <c r="B226" s="1" t="s">
        <v>390</v>
      </c>
      <c r="C226" s="1" t="s">
        <v>391</v>
      </c>
      <c r="D226" s="1" t="s">
        <v>38</v>
      </c>
      <c r="E226" s="11">
        <v>45417</v>
      </c>
      <c r="F226" s="1">
        <v>450383</v>
      </c>
      <c r="G226" s="1">
        <v>119</v>
      </c>
      <c r="H226" s="1">
        <v>43450</v>
      </c>
      <c r="I226" s="1">
        <v>1312</v>
      </c>
      <c r="J226" s="1">
        <v>1393</v>
      </c>
      <c r="K226" s="1">
        <v>203576</v>
      </c>
      <c r="L226" s="1">
        <v>111772</v>
      </c>
      <c r="M226" s="2">
        <v>0.10247944527213505</v>
      </c>
      <c r="N226" s="1">
        <v>10</v>
      </c>
      <c r="O226" s="1">
        <v>25</v>
      </c>
      <c r="P226" s="1">
        <v>1252</v>
      </c>
      <c r="Q226" s="1">
        <v>17771</v>
      </c>
      <c r="R226" s="1">
        <v>232</v>
      </c>
      <c r="S226" s="4">
        <v>22</v>
      </c>
      <c r="T226" s="1" t="s">
        <v>784</v>
      </c>
    </row>
    <row r="227" spans="1:20" x14ac:dyDescent="0.3">
      <c r="A227" s="3">
        <v>2921</v>
      </c>
      <c r="B227" s="1" t="s">
        <v>65</v>
      </c>
      <c r="C227" s="1" t="s">
        <v>392</v>
      </c>
      <c r="D227" s="1" t="s">
        <v>20</v>
      </c>
      <c r="E227" s="11">
        <v>45363</v>
      </c>
      <c r="F227" s="1">
        <v>101672</v>
      </c>
      <c r="G227" s="1">
        <v>212</v>
      </c>
      <c r="H227" s="1">
        <v>4763</v>
      </c>
      <c r="I227" s="1">
        <v>712</v>
      </c>
      <c r="J227" s="1">
        <v>276</v>
      </c>
      <c r="K227" s="1">
        <v>9650</v>
      </c>
      <c r="L227" s="1">
        <v>19405</v>
      </c>
      <c r="M227" s="2">
        <v>5.6564245810055869E-2</v>
      </c>
      <c r="N227" s="1">
        <v>5</v>
      </c>
      <c r="O227" s="1">
        <v>0</v>
      </c>
      <c r="P227" s="1">
        <v>350</v>
      </c>
      <c r="Q227" s="1">
        <v>1568</v>
      </c>
      <c r="R227" s="1">
        <v>0</v>
      </c>
      <c r="S227" s="4">
        <v>19</v>
      </c>
      <c r="T227" s="1" t="s">
        <v>795</v>
      </c>
    </row>
    <row r="228" spans="1:20" x14ac:dyDescent="0.3">
      <c r="A228" s="3">
        <v>5720</v>
      </c>
      <c r="B228" s="1" t="s">
        <v>393</v>
      </c>
      <c r="C228" s="1" t="s">
        <v>394</v>
      </c>
      <c r="D228" s="1" t="s">
        <v>20</v>
      </c>
      <c r="E228" s="11">
        <v>45454</v>
      </c>
      <c r="F228" s="1">
        <v>385909</v>
      </c>
      <c r="G228" s="1">
        <v>335</v>
      </c>
      <c r="H228" s="1">
        <v>38642</v>
      </c>
      <c r="I228" s="1">
        <v>7385</v>
      </c>
      <c r="J228" s="1">
        <v>9603</v>
      </c>
      <c r="K228" s="1">
        <v>46295</v>
      </c>
      <c r="L228" s="1">
        <v>271677</v>
      </c>
      <c r="M228" s="2">
        <v>0.14415315527753952</v>
      </c>
      <c r="N228" s="1">
        <v>5</v>
      </c>
      <c r="O228" s="1">
        <v>0</v>
      </c>
      <c r="P228" s="1">
        <v>3791</v>
      </c>
      <c r="Q228" s="1">
        <v>5577</v>
      </c>
      <c r="R228" s="1">
        <v>0</v>
      </c>
      <c r="S228" s="4">
        <v>11</v>
      </c>
      <c r="T228" s="1" t="s">
        <v>785</v>
      </c>
    </row>
    <row r="229" spans="1:20" x14ac:dyDescent="0.3">
      <c r="A229" s="3">
        <v>2906</v>
      </c>
      <c r="B229" s="1" t="s">
        <v>395</v>
      </c>
      <c r="C229" s="1" t="s">
        <v>396</v>
      </c>
      <c r="D229" s="1" t="s">
        <v>20</v>
      </c>
      <c r="E229" s="11">
        <v>45368</v>
      </c>
      <c r="F229" s="1">
        <v>482517</v>
      </c>
      <c r="G229" s="1">
        <v>804</v>
      </c>
      <c r="H229" s="1">
        <v>10488</v>
      </c>
      <c r="I229" s="1">
        <v>741</v>
      </c>
      <c r="J229" s="1">
        <v>2397</v>
      </c>
      <c r="K229" s="1">
        <v>32585</v>
      </c>
      <c r="L229" s="1">
        <v>49974</v>
      </c>
      <c r="M229" s="2">
        <v>2.823941954376737E-2</v>
      </c>
      <c r="N229" s="1">
        <v>13</v>
      </c>
      <c r="O229" s="1">
        <v>0</v>
      </c>
      <c r="P229" s="1">
        <v>367</v>
      </c>
      <c r="Q229" s="1">
        <v>5221</v>
      </c>
      <c r="R229" s="1">
        <v>411</v>
      </c>
      <c r="S229" s="4">
        <v>8</v>
      </c>
      <c r="T229" s="1" t="s">
        <v>796</v>
      </c>
    </row>
    <row r="230" spans="1:20" x14ac:dyDescent="0.3">
      <c r="A230" s="3">
        <v>8125</v>
      </c>
      <c r="B230" s="1" t="s">
        <v>63</v>
      </c>
      <c r="C230" s="1" t="s">
        <v>397</v>
      </c>
      <c r="D230" s="1" t="s">
        <v>20</v>
      </c>
      <c r="E230" s="11">
        <v>45422</v>
      </c>
      <c r="F230" s="1">
        <v>355712</v>
      </c>
      <c r="G230" s="1">
        <v>1909</v>
      </c>
      <c r="H230" s="1">
        <v>16558</v>
      </c>
      <c r="I230" s="1">
        <v>907</v>
      </c>
      <c r="J230" s="1">
        <v>176</v>
      </c>
      <c r="K230" s="1">
        <v>61811</v>
      </c>
      <c r="L230" s="1">
        <v>105047</v>
      </c>
      <c r="M230" s="2">
        <v>4.9593491363799931E-2</v>
      </c>
      <c r="N230" s="1">
        <v>23</v>
      </c>
      <c r="O230" s="1">
        <v>0</v>
      </c>
      <c r="P230" s="1">
        <v>662</v>
      </c>
      <c r="Q230" s="1">
        <v>5703</v>
      </c>
      <c r="R230" s="1">
        <v>364</v>
      </c>
      <c r="S230" s="4">
        <v>7</v>
      </c>
      <c r="T230" s="1" t="s">
        <v>794</v>
      </c>
    </row>
    <row r="231" spans="1:20" x14ac:dyDescent="0.3">
      <c r="A231" s="3">
        <v>6494</v>
      </c>
      <c r="B231" s="1" t="s">
        <v>398</v>
      </c>
      <c r="C231" s="1" t="s">
        <v>399</v>
      </c>
      <c r="D231" s="1" t="s">
        <v>15</v>
      </c>
      <c r="E231" s="11">
        <v>45527</v>
      </c>
      <c r="F231" s="1">
        <v>364957</v>
      </c>
      <c r="G231" s="1">
        <v>1246</v>
      </c>
      <c r="H231" s="1">
        <v>37574</v>
      </c>
      <c r="I231" s="1">
        <v>5206</v>
      </c>
      <c r="J231" s="1">
        <v>921</v>
      </c>
      <c r="K231" s="1">
        <v>150710</v>
      </c>
      <c r="L231" s="1">
        <v>274679</v>
      </c>
      <c r="M231" s="2">
        <v>0.11974287381801144</v>
      </c>
      <c r="N231" s="1">
        <v>14</v>
      </c>
      <c r="O231" s="1">
        <v>0</v>
      </c>
      <c r="P231" s="1">
        <v>1102</v>
      </c>
      <c r="Q231" s="1">
        <v>26611</v>
      </c>
      <c r="R231" s="1">
        <v>0</v>
      </c>
      <c r="S231" s="4">
        <v>22</v>
      </c>
      <c r="T231" s="1" t="s">
        <v>784</v>
      </c>
    </row>
    <row r="232" spans="1:20" x14ac:dyDescent="0.3">
      <c r="A232" s="3">
        <v>2941</v>
      </c>
      <c r="B232" s="1" t="s">
        <v>400</v>
      </c>
      <c r="C232" s="1" t="s">
        <v>401</v>
      </c>
      <c r="D232" s="1" t="s">
        <v>20</v>
      </c>
      <c r="E232" s="11">
        <v>45618</v>
      </c>
      <c r="F232" s="1">
        <v>209476</v>
      </c>
      <c r="G232" s="1">
        <v>1429</v>
      </c>
      <c r="H232" s="1">
        <v>27191</v>
      </c>
      <c r="I232" s="1">
        <v>4434</v>
      </c>
      <c r="J232" s="1">
        <v>1255</v>
      </c>
      <c r="K232" s="1">
        <v>109625</v>
      </c>
      <c r="L232" s="1">
        <v>80730</v>
      </c>
      <c r="M232" s="2">
        <v>0.15696308885027402</v>
      </c>
      <c r="N232" s="1">
        <v>6</v>
      </c>
      <c r="O232" s="1">
        <v>0</v>
      </c>
      <c r="P232" s="1">
        <v>880</v>
      </c>
      <c r="Q232" s="1">
        <v>9627</v>
      </c>
      <c r="R232" s="1">
        <v>0</v>
      </c>
      <c r="S232" s="4">
        <v>21</v>
      </c>
      <c r="T232" s="1" t="s">
        <v>799</v>
      </c>
    </row>
    <row r="233" spans="1:20" x14ac:dyDescent="0.3">
      <c r="A233" s="3">
        <v>9055</v>
      </c>
      <c r="B233" s="1" t="s">
        <v>402</v>
      </c>
      <c r="C233" s="1" t="s">
        <v>403</v>
      </c>
      <c r="D233" s="1" t="s">
        <v>38</v>
      </c>
      <c r="E233" s="11">
        <v>45616</v>
      </c>
      <c r="F233" s="1">
        <v>10288</v>
      </c>
      <c r="G233" s="1">
        <v>182</v>
      </c>
      <c r="H233" s="1">
        <v>948</v>
      </c>
      <c r="I233" s="1">
        <v>108</v>
      </c>
      <c r="J233" s="1">
        <v>99</v>
      </c>
      <c r="K233" s="1">
        <v>4684</v>
      </c>
      <c r="L233" s="1">
        <v>5902</v>
      </c>
      <c r="M233" s="2">
        <v>0.11226671850699844</v>
      </c>
      <c r="N233" s="1">
        <v>25</v>
      </c>
      <c r="O233" s="1">
        <v>3</v>
      </c>
      <c r="P233" s="1">
        <v>41</v>
      </c>
      <c r="Q233" s="1">
        <v>289</v>
      </c>
      <c r="R233" s="1">
        <v>0</v>
      </c>
      <c r="S233" s="4">
        <v>6</v>
      </c>
      <c r="T233" s="1" t="s">
        <v>792</v>
      </c>
    </row>
    <row r="234" spans="1:20" x14ac:dyDescent="0.3">
      <c r="A234" s="3">
        <v>4287</v>
      </c>
      <c r="B234" s="1" t="s">
        <v>377</v>
      </c>
      <c r="C234" s="1" t="s">
        <v>404</v>
      </c>
      <c r="D234" s="1" t="s">
        <v>15</v>
      </c>
      <c r="E234" s="11">
        <v>45553</v>
      </c>
      <c r="F234" s="1">
        <v>47039</v>
      </c>
      <c r="G234" s="1">
        <v>525</v>
      </c>
      <c r="H234" s="1">
        <v>5946</v>
      </c>
      <c r="I234" s="1">
        <v>160</v>
      </c>
      <c r="J234" s="1">
        <v>1005</v>
      </c>
      <c r="K234" s="1">
        <v>26419</v>
      </c>
      <c r="L234" s="1">
        <v>13353</v>
      </c>
      <c r="M234" s="2">
        <v>0.15117243138672165</v>
      </c>
      <c r="N234" s="1">
        <v>3</v>
      </c>
      <c r="O234" s="1">
        <v>0</v>
      </c>
      <c r="P234" s="1">
        <v>446</v>
      </c>
      <c r="Q234" s="1">
        <v>1923</v>
      </c>
      <c r="R234" s="1">
        <v>0</v>
      </c>
      <c r="S234" s="4">
        <v>7</v>
      </c>
      <c r="T234" s="1" t="s">
        <v>794</v>
      </c>
    </row>
    <row r="235" spans="1:20" x14ac:dyDescent="0.3">
      <c r="A235" s="3">
        <v>8510</v>
      </c>
      <c r="B235" s="1" t="s">
        <v>55</v>
      </c>
      <c r="C235" s="1" t="s">
        <v>405</v>
      </c>
      <c r="D235" s="1" t="s">
        <v>15</v>
      </c>
      <c r="E235" s="11">
        <v>45466</v>
      </c>
      <c r="F235" s="1">
        <v>397482</v>
      </c>
      <c r="G235" s="1">
        <v>957</v>
      </c>
      <c r="H235" s="1">
        <v>35716</v>
      </c>
      <c r="I235" s="1">
        <v>4877</v>
      </c>
      <c r="J235" s="1">
        <v>4711</v>
      </c>
      <c r="K235" s="1">
        <v>149942</v>
      </c>
      <c r="L235" s="1">
        <v>118719</v>
      </c>
      <c r="M235" s="2">
        <v>0.11397748828877785</v>
      </c>
      <c r="N235" s="1">
        <v>25</v>
      </c>
      <c r="O235" s="1">
        <v>0</v>
      </c>
      <c r="P235" s="1">
        <v>1334</v>
      </c>
      <c r="Q235" s="1">
        <v>13453</v>
      </c>
      <c r="R235" s="1">
        <v>0</v>
      </c>
      <c r="S235" s="4">
        <v>7</v>
      </c>
      <c r="T235" s="1" t="s">
        <v>794</v>
      </c>
    </row>
    <row r="236" spans="1:20" x14ac:dyDescent="0.3">
      <c r="A236" s="3">
        <v>7018</v>
      </c>
      <c r="B236" s="1" t="s">
        <v>406</v>
      </c>
      <c r="C236" s="1" t="s">
        <v>407</v>
      </c>
      <c r="D236" s="1" t="s">
        <v>15</v>
      </c>
      <c r="E236" s="11">
        <v>45363</v>
      </c>
      <c r="F236" s="1">
        <v>41027</v>
      </c>
      <c r="G236" s="1">
        <v>275</v>
      </c>
      <c r="H236" s="1">
        <v>5134</v>
      </c>
      <c r="I236" s="1">
        <v>12</v>
      </c>
      <c r="J236" s="1">
        <v>99</v>
      </c>
      <c r="K236" s="1">
        <v>18335</v>
      </c>
      <c r="L236" s="1">
        <v>24735</v>
      </c>
      <c r="M236" s="2">
        <v>0.12784264021254296</v>
      </c>
      <c r="N236" s="1">
        <v>14</v>
      </c>
      <c r="O236" s="1">
        <v>0</v>
      </c>
      <c r="P236" s="1">
        <v>360</v>
      </c>
      <c r="Q236" s="1">
        <v>1238</v>
      </c>
      <c r="R236" s="1">
        <v>0</v>
      </c>
      <c r="S236" s="4">
        <v>19</v>
      </c>
      <c r="T236" s="1" t="s">
        <v>795</v>
      </c>
    </row>
    <row r="237" spans="1:20" x14ac:dyDescent="0.3">
      <c r="A237" s="3">
        <v>9818</v>
      </c>
      <c r="B237" s="1" t="s">
        <v>104</v>
      </c>
      <c r="C237" s="1" t="s">
        <v>408</v>
      </c>
      <c r="D237" s="1" t="s">
        <v>15</v>
      </c>
      <c r="E237" s="11">
        <v>45584</v>
      </c>
      <c r="F237" s="1">
        <v>431878</v>
      </c>
      <c r="G237" s="1">
        <v>1376</v>
      </c>
      <c r="H237" s="1">
        <v>50477</v>
      </c>
      <c r="I237" s="1">
        <v>5322</v>
      </c>
      <c r="J237" s="1">
        <v>3707</v>
      </c>
      <c r="K237" s="1">
        <v>182261</v>
      </c>
      <c r="L237" s="1">
        <v>213617</v>
      </c>
      <c r="M237" s="2">
        <v>0.13778428167213888</v>
      </c>
      <c r="N237" s="1">
        <v>19</v>
      </c>
      <c r="O237" s="1">
        <v>0</v>
      </c>
      <c r="P237" s="1">
        <v>1881</v>
      </c>
      <c r="Q237" s="1">
        <v>28488</v>
      </c>
      <c r="R237" s="1">
        <v>0</v>
      </c>
      <c r="S237" s="4">
        <v>8</v>
      </c>
      <c r="T237" s="1" t="s">
        <v>796</v>
      </c>
    </row>
    <row r="238" spans="1:20" x14ac:dyDescent="0.3">
      <c r="A238" s="3">
        <v>6900</v>
      </c>
      <c r="B238" s="1" t="s">
        <v>409</v>
      </c>
      <c r="C238" s="1" t="s">
        <v>410</v>
      </c>
      <c r="D238" s="1" t="s">
        <v>15</v>
      </c>
      <c r="E238" s="11">
        <v>45376</v>
      </c>
      <c r="F238" s="1">
        <v>343803</v>
      </c>
      <c r="G238" s="1">
        <v>1644</v>
      </c>
      <c r="H238" s="1">
        <v>38784</v>
      </c>
      <c r="I238" s="1">
        <v>6086</v>
      </c>
      <c r="J238" s="1">
        <v>5937</v>
      </c>
      <c r="K238" s="1">
        <v>192402</v>
      </c>
      <c r="L238" s="1">
        <v>187845</v>
      </c>
      <c r="M238" s="2">
        <v>0.14777939692207456</v>
      </c>
      <c r="N238" s="1">
        <v>25</v>
      </c>
      <c r="O238" s="1">
        <v>0</v>
      </c>
      <c r="P238" s="1">
        <v>1607</v>
      </c>
      <c r="Q238" s="1">
        <v>26148</v>
      </c>
      <c r="R238" s="1">
        <v>655</v>
      </c>
      <c r="S238" s="4">
        <v>6</v>
      </c>
      <c r="T238" s="1" t="s">
        <v>792</v>
      </c>
    </row>
    <row r="239" spans="1:20" x14ac:dyDescent="0.3">
      <c r="A239" s="3">
        <v>7803</v>
      </c>
      <c r="B239" s="1" t="s">
        <v>205</v>
      </c>
      <c r="C239" s="1" t="s">
        <v>411</v>
      </c>
      <c r="D239" s="1" t="s">
        <v>20</v>
      </c>
      <c r="E239" s="11">
        <v>45313</v>
      </c>
      <c r="F239" s="1">
        <v>153389</v>
      </c>
      <c r="G239" s="1">
        <v>1447</v>
      </c>
      <c r="H239" s="1">
        <v>21476</v>
      </c>
      <c r="I239" s="1">
        <v>352</v>
      </c>
      <c r="J239" s="1">
        <v>1940</v>
      </c>
      <c r="K239" s="1">
        <v>79639</v>
      </c>
      <c r="L239" s="1">
        <v>43098</v>
      </c>
      <c r="M239" s="2">
        <v>0.15495244117896328</v>
      </c>
      <c r="N239" s="1">
        <v>23</v>
      </c>
      <c r="O239" s="1">
        <v>0</v>
      </c>
      <c r="P239" s="1">
        <v>1419</v>
      </c>
      <c r="Q239" s="1">
        <v>10892</v>
      </c>
      <c r="R239" s="1">
        <v>344</v>
      </c>
      <c r="S239" s="4">
        <v>18</v>
      </c>
      <c r="T239" s="1" t="s">
        <v>793</v>
      </c>
    </row>
    <row r="240" spans="1:20" x14ac:dyDescent="0.3">
      <c r="A240" s="3">
        <v>9188</v>
      </c>
      <c r="B240" s="1" t="s">
        <v>412</v>
      </c>
      <c r="C240" s="1" t="s">
        <v>413</v>
      </c>
      <c r="D240" s="1" t="s">
        <v>38</v>
      </c>
      <c r="E240" s="11">
        <v>45641</v>
      </c>
      <c r="F240" s="1">
        <v>174356</v>
      </c>
      <c r="G240" s="1">
        <v>706</v>
      </c>
      <c r="H240" s="1">
        <v>16965</v>
      </c>
      <c r="I240" s="1">
        <v>1120</v>
      </c>
      <c r="J240" s="1">
        <v>2661</v>
      </c>
      <c r="K240" s="1">
        <v>66201</v>
      </c>
      <c r="L240" s="1">
        <v>87348</v>
      </c>
      <c r="M240" s="2">
        <v>0.11898644153341439</v>
      </c>
      <c r="N240" s="1">
        <v>19</v>
      </c>
      <c r="O240" s="1">
        <v>28</v>
      </c>
      <c r="P240" s="1">
        <v>427</v>
      </c>
      <c r="Q240" s="1">
        <v>12159</v>
      </c>
      <c r="R240" s="1">
        <v>0</v>
      </c>
      <c r="S240" s="4">
        <v>8</v>
      </c>
      <c r="T240" s="1" t="s">
        <v>796</v>
      </c>
    </row>
    <row r="241" spans="1:20" x14ac:dyDescent="0.3">
      <c r="A241" s="3">
        <v>8548</v>
      </c>
      <c r="B241" s="1" t="s">
        <v>414</v>
      </c>
      <c r="C241" s="1" t="s">
        <v>415</v>
      </c>
      <c r="D241" s="1" t="s">
        <v>38</v>
      </c>
      <c r="E241" s="11">
        <v>45518</v>
      </c>
      <c r="F241" s="1">
        <v>459811</v>
      </c>
      <c r="G241" s="1">
        <v>1410</v>
      </c>
      <c r="H241" s="1">
        <v>18738</v>
      </c>
      <c r="I241" s="1">
        <v>740</v>
      </c>
      <c r="J241" s="1">
        <v>4154</v>
      </c>
      <c r="K241" s="1">
        <v>26951</v>
      </c>
      <c r="L241" s="1">
        <v>117418</v>
      </c>
      <c r="M241" s="2">
        <v>5.1395029696984194E-2</v>
      </c>
      <c r="N241" s="1">
        <v>3</v>
      </c>
      <c r="O241" s="1">
        <v>32</v>
      </c>
      <c r="P241" s="1">
        <v>463</v>
      </c>
      <c r="Q241" s="1">
        <v>4462</v>
      </c>
      <c r="R241" s="1">
        <v>404</v>
      </c>
      <c r="S241" s="4">
        <v>23</v>
      </c>
      <c r="T241" s="1" t="s">
        <v>786</v>
      </c>
    </row>
    <row r="242" spans="1:20" x14ac:dyDescent="0.3">
      <c r="A242" s="3">
        <v>8179</v>
      </c>
      <c r="B242" s="1" t="s">
        <v>416</v>
      </c>
      <c r="C242" s="1" t="s">
        <v>417</v>
      </c>
      <c r="D242" s="1" t="s">
        <v>15</v>
      </c>
      <c r="E242" s="11">
        <v>45348</v>
      </c>
      <c r="F242" s="1">
        <v>72071</v>
      </c>
      <c r="G242" s="1">
        <v>1415</v>
      </c>
      <c r="H242" s="1">
        <v>222</v>
      </c>
      <c r="I242" s="1">
        <v>40</v>
      </c>
      <c r="J242" s="1">
        <v>52</v>
      </c>
      <c r="K242" s="1">
        <v>334</v>
      </c>
      <c r="L242" s="1">
        <v>831</v>
      </c>
      <c r="M242" s="2">
        <v>4.3568148076202637E-3</v>
      </c>
      <c r="N242" s="1">
        <v>5</v>
      </c>
      <c r="O242" s="1">
        <v>0</v>
      </c>
      <c r="P242" s="1">
        <v>11</v>
      </c>
      <c r="Q242" s="1">
        <v>32</v>
      </c>
      <c r="R242" s="1">
        <v>1</v>
      </c>
      <c r="S242" s="4">
        <v>17</v>
      </c>
      <c r="T242" s="1" t="s">
        <v>791</v>
      </c>
    </row>
    <row r="243" spans="1:20" x14ac:dyDescent="0.3">
      <c r="A243" s="3">
        <v>3756</v>
      </c>
      <c r="B243" s="1" t="s">
        <v>237</v>
      </c>
      <c r="C243" s="1" t="s">
        <v>418</v>
      </c>
      <c r="D243" s="1" t="s">
        <v>38</v>
      </c>
      <c r="E243" s="11">
        <v>45364</v>
      </c>
      <c r="F243" s="1">
        <v>13412</v>
      </c>
      <c r="G243" s="1">
        <v>1469</v>
      </c>
      <c r="H243" s="1">
        <v>318</v>
      </c>
      <c r="I243" s="1">
        <v>34</v>
      </c>
      <c r="J243" s="1">
        <v>74</v>
      </c>
      <c r="K243" s="1">
        <v>1226</v>
      </c>
      <c r="L243" s="1">
        <v>1239</v>
      </c>
      <c r="M243" s="2">
        <v>3.1762600656128841E-2</v>
      </c>
      <c r="N243" s="1">
        <v>7</v>
      </c>
      <c r="O243" s="1">
        <v>15</v>
      </c>
      <c r="P243" s="1">
        <v>11</v>
      </c>
      <c r="Q243" s="1">
        <v>197</v>
      </c>
      <c r="R243" s="1">
        <v>2</v>
      </c>
      <c r="S243" s="4">
        <v>12</v>
      </c>
      <c r="T243" s="1" t="s">
        <v>787</v>
      </c>
    </row>
    <row r="244" spans="1:20" x14ac:dyDescent="0.3">
      <c r="A244" s="3">
        <v>4457</v>
      </c>
      <c r="B244" s="1" t="s">
        <v>65</v>
      </c>
      <c r="C244" s="1" t="s">
        <v>419</v>
      </c>
      <c r="D244" s="1" t="s">
        <v>15</v>
      </c>
      <c r="E244" s="11">
        <v>45390</v>
      </c>
      <c r="F244" s="1">
        <v>77660</v>
      </c>
      <c r="G244" s="1">
        <v>436</v>
      </c>
      <c r="H244" s="1">
        <v>7039</v>
      </c>
      <c r="I244" s="1">
        <v>1001</v>
      </c>
      <c r="J244" s="1">
        <v>939</v>
      </c>
      <c r="K244" s="1">
        <v>7236</v>
      </c>
      <c r="L244" s="1">
        <v>47147</v>
      </c>
      <c r="M244" s="2">
        <v>0.11561936646922483</v>
      </c>
      <c r="N244" s="1">
        <v>24</v>
      </c>
      <c r="O244" s="1">
        <v>0</v>
      </c>
      <c r="P244" s="1">
        <v>337</v>
      </c>
      <c r="Q244" s="1">
        <v>1379</v>
      </c>
      <c r="R244" s="1">
        <v>95</v>
      </c>
      <c r="S244" s="4">
        <v>11</v>
      </c>
      <c r="T244" s="1" t="s">
        <v>785</v>
      </c>
    </row>
    <row r="245" spans="1:20" x14ac:dyDescent="0.3">
      <c r="A245" s="3">
        <v>3372</v>
      </c>
      <c r="B245" s="1" t="s">
        <v>85</v>
      </c>
      <c r="C245" s="1" t="s">
        <v>420</v>
      </c>
      <c r="D245" s="1" t="s">
        <v>38</v>
      </c>
      <c r="E245" s="11">
        <v>45516</v>
      </c>
      <c r="F245" s="1">
        <v>445032</v>
      </c>
      <c r="G245" s="1">
        <v>1417</v>
      </c>
      <c r="H245" s="1">
        <v>61929</v>
      </c>
      <c r="I245" s="1">
        <v>9404</v>
      </c>
      <c r="J245" s="1">
        <v>5462</v>
      </c>
      <c r="K245" s="1">
        <v>141578</v>
      </c>
      <c r="L245" s="1">
        <v>313166</v>
      </c>
      <c r="M245" s="2">
        <v>0.17256062485394308</v>
      </c>
      <c r="N245" s="1">
        <v>10</v>
      </c>
      <c r="O245" s="1">
        <v>4</v>
      </c>
      <c r="P245" s="1">
        <v>5844</v>
      </c>
      <c r="Q245" s="1">
        <v>13818</v>
      </c>
      <c r="R245" s="1">
        <v>0</v>
      </c>
      <c r="S245" s="4">
        <v>17</v>
      </c>
      <c r="T245" s="1" t="s">
        <v>791</v>
      </c>
    </row>
    <row r="246" spans="1:20" x14ac:dyDescent="0.3">
      <c r="A246" s="3">
        <v>1553</v>
      </c>
      <c r="B246" s="1" t="s">
        <v>421</v>
      </c>
      <c r="C246" s="1" t="s">
        <v>422</v>
      </c>
      <c r="D246" s="1" t="s">
        <v>15</v>
      </c>
      <c r="E246" s="11">
        <v>45432</v>
      </c>
      <c r="F246" s="1">
        <v>423686</v>
      </c>
      <c r="G246" s="1">
        <v>666</v>
      </c>
      <c r="H246" s="1">
        <v>61714</v>
      </c>
      <c r="I246" s="1">
        <v>4980</v>
      </c>
      <c r="J246" s="1">
        <v>2628</v>
      </c>
      <c r="K246" s="1">
        <v>115749</v>
      </c>
      <c r="L246" s="1">
        <v>225245</v>
      </c>
      <c r="M246" s="2">
        <v>0.1636164518062905</v>
      </c>
      <c r="N246" s="1">
        <v>7</v>
      </c>
      <c r="O246" s="1">
        <v>0</v>
      </c>
      <c r="P246" s="1">
        <v>4544</v>
      </c>
      <c r="Q246" s="1">
        <v>14575</v>
      </c>
      <c r="R246" s="1">
        <v>0</v>
      </c>
      <c r="S246" s="4">
        <v>7</v>
      </c>
      <c r="T246" s="1" t="s">
        <v>794</v>
      </c>
    </row>
    <row r="247" spans="1:20" x14ac:dyDescent="0.3">
      <c r="A247" s="3">
        <v>8980</v>
      </c>
      <c r="B247" s="1" t="s">
        <v>65</v>
      </c>
      <c r="C247" s="1" t="s">
        <v>423</v>
      </c>
      <c r="D247" s="1" t="s">
        <v>15</v>
      </c>
      <c r="E247" s="11">
        <v>45345</v>
      </c>
      <c r="F247" s="1">
        <v>270429</v>
      </c>
      <c r="G247" s="1">
        <v>1344</v>
      </c>
      <c r="H247" s="1">
        <v>29817</v>
      </c>
      <c r="I247" s="1">
        <v>2045</v>
      </c>
      <c r="J247" s="1">
        <v>346</v>
      </c>
      <c r="K247" s="1">
        <v>85472</v>
      </c>
      <c r="L247" s="1">
        <v>89988</v>
      </c>
      <c r="M247" s="2">
        <v>0.11909965277392587</v>
      </c>
      <c r="N247" s="1">
        <v>12</v>
      </c>
      <c r="O247" s="1">
        <v>0</v>
      </c>
      <c r="P247" s="1">
        <v>914</v>
      </c>
      <c r="Q247" s="1">
        <v>5949</v>
      </c>
      <c r="R247" s="1">
        <v>0</v>
      </c>
      <c r="S247" s="4">
        <v>17</v>
      </c>
      <c r="T247" s="1" t="s">
        <v>791</v>
      </c>
    </row>
    <row r="248" spans="1:20" x14ac:dyDescent="0.3">
      <c r="A248" s="3">
        <v>1464</v>
      </c>
      <c r="B248" s="1" t="s">
        <v>424</v>
      </c>
      <c r="C248" s="1" t="s">
        <v>425</v>
      </c>
      <c r="D248" s="1" t="s">
        <v>20</v>
      </c>
      <c r="E248" s="11">
        <v>45516</v>
      </c>
      <c r="F248" s="1">
        <v>430055</v>
      </c>
      <c r="G248" s="1">
        <v>1188</v>
      </c>
      <c r="H248" s="1">
        <v>8376</v>
      </c>
      <c r="I248" s="1">
        <v>1073</v>
      </c>
      <c r="J248" s="1">
        <v>2314</v>
      </c>
      <c r="K248" s="1">
        <v>20940</v>
      </c>
      <c r="L248" s="1">
        <v>63505</v>
      </c>
      <c r="M248" s="2">
        <v>2.7352315401518411E-2</v>
      </c>
      <c r="N248" s="1">
        <v>13</v>
      </c>
      <c r="O248" s="1">
        <v>0</v>
      </c>
      <c r="P248" s="1">
        <v>309</v>
      </c>
      <c r="Q248" s="1">
        <v>2790</v>
      </c>
      <c r="R248" s="1">
        <v>30</v>
      </c>
      <c r="S248" s="4">
        <v>18</v>
      </c>
      <c r="T248" s="1" t="s">
        <v>793</v>
      </c>
    </row>
    <row r="249" spans="1:20" x14ac:dyDescent="0.3">
      <c r="A249" s="3">
        <v>5688</v>
      </c>
      <c r="B249" s="1" t="s">
        <v>412</v>
      </c>
      <c r="C249" s="1" t="s">
        <v>426</v>
      </c>
      <c r="D249" s="1" t="s">
        <v>38</v>
      </c>
      <c r="E249" s="11">
        <v>45514</v>
      </c>
      <c r="F249" s="1">
        <v>324676</v>
      </c>
      <c r="G249" s="1">
        <v>1291</v>
      </c>
      <c r="H249" s="1">
        <v>16771</v>
      </c>
      <c r="I249" s="1">
        <v>2133</v>
      </c>
      <c r="J249" s="1">
        <v>1489</v>
      </c>
      <c r="K249" s="1">
        <v>61720</v>
      </c>
      <c r="L249" s="1">
        <v>125738</v>
      </c>
      <c r="M249" s="2">
        <v>6.2810309354556546E-2</v>
      </c>
      <c r="N249" s="1">
        <v>5</v>
      </c>
      <c r="O249" s="1">
        <v>27</v>
      </c>
      <c r="P249" s="1">
        <v>867</v>
      </c>
      <c r="Q249" s="1">
        <v>9149</v>
      </c>
      <c r="R249" s="1">
        <v>587</v>
      </c>
      <c r="S249" s="4">
        <v>19</v>
      </c>
      <c r="T249" s="1" t="s">
        <v>795</v>
      </c>
    </row>
    <row r="250" spans="1:20" x14ac:dyDescent="0.3">
      <c r="A250" s="3">
        <v>4295</v>
      </c>
      <c r="B250" s="1" t="s">
        <v>107</v>
      </c>
      <c r="C250" s="1" t="s">
        <v>427</v>
      </c>
      <c r="D250" s="1" t="s">
        <v>15</v>
      </c>
      <c r="E250" s="11">
        <v>45630</v>
      </c>
      <c r="F250" s="1">
        <v>405882</v>
      </c>
      <c r="G250" s="1">
        <v>938</v>
      </c>
      <c r="H250" s="1">
        <v>45186</v>
      </c>
      <c r="I250" s="1">
        <v>8177</v>
      </c>
      <c r="J250" s="1">
        <v>9874</v>
      </c>
      <c r="K250" s="1">
        <v>59071</v>
      </c>
      <c r="L250" s="1">
        <v>312487</v>
      </c>
      <c r="M250" s="2">
        <v>0.15580143982733899</v>
      </c>
      <c r="N250" s="1">
        <v>7</v>
      </c>
      <c r="O250" s="1">
        <v>0</v>
      </c>
      <c r="P250" s="1">
        <v>3551</v>
      </c>
      <c r="Q250" s="1">
        <v>7337</v>
      </c>
      <c r="R250" s="1">
        <v>282</v>
      </c>
      <c r="S250" s="4">
        <v>21</v>
      </c>
      <c r="T250" s="1" t="s">
        <v>799</v>
      </c>
    </row>
    <row r="251" spans="1:20" x14ac:dyDescent="0.3">
      <c r="A251" s="3">
        <v>6575</v>
      </c>
      <c r="B251" s="1" t="s">
        <v>137</v>
      </c>
      <c r="C251" s="1" t="s">
        <v>428</v>
      </c>
      <c r="D251" s="1" t="s">
        <v>38</v>
      </c>
      <c r="E251" s="11">
        <v>45573</v>
      </c>
      <c r="F251" s="1">
        <v>234480</v>
      </c>
      <c r="G251" s="1">
        <v>1929</v>
      </c>
      <c r="H251" s="1">
        <v>26873</v>
      </c>
      <c r="I251" s="1">
        <v>3301</v>
      </c>
      <c r="J251" s="1">
        <v>1822</v>
      </c>
      <c r="K251" s="1">
        <v>26880</v>
      </c>
      <c r="L251" s="1">
        <v>82606</v>
      </c>
      <c r="M251" s="2">
        <v>0.13645513476629137</v>
      </c>
      <c r="N251" s="1">
        <v>11</v>
      </c>
      <c r="O251" s="1">
        <v>16</v>
      </c>
      <c r="P251" s="1">
        <v>2401</v>
      </c>
      <c r="Q251" s="1">
        <v>5178</v>
      </c>
      <c r="R251" s="1">
        <v>104</v>
      </c>
      <c r="S251" s="4">
        <v>16</v>
      </c>
      <c r="T251" s="1" t="s">
        <v>790</v>
      </c>
    </row>
    <row r="252" spans="1:20" x14ac:dyDescent="0.3">
      <c r="A252" s="3">
        <v>6776</v>
      </c>
      <c r="B252" s="1" t="s">
        <v>429</v>
      </c>
      <c r="C252" s="1" t="s">
        <v>430</v>
      </c>
      <c r="D252" s="1" t="s">
        <v>38</v>
      </c>
      <c r="E252" s="11">
        <v>45616</v>
      </c>
      <c r="F252" s="1">
        <v>135004</v>
      </c>
      <c r="G252" s="1">
        <v>1660</v>
      </c>
      <c r="H252" s="1">
        <v>3406</v>
      </c>
      <c r="I252" s="1">
        <v>231</v>
      </c>
      <c r="J252" s="1">
        <v>66</v>
      </c>
      <c r="K252" s="1">
        <v>9482</v>
      </c>
      <c r="L252" s="1">
        <v>9707</v>
      </c>
      <c r="M252" s="2">
        <v>2.7428816923942993E-2</v>
      </c>
      <c r="N252" s="1">
        <v>18</v>
      </c>
      <c r="O252" s="1">
        <v>5</v>
      </c>
      <c r="P252" s="1">
        <v>206</v>
      </c>
      <c r="Q252" s="1">
        <v>1791</v>
      </c>
      <c r="R252" s="1">
        <v>58</v>
      </c>
      <c r="S252" s="4">
        <v>16</v>
      </c>
      <c r="T252" s="1" t="s">
        <v>790</v>
      </c>
    </row>
    <row r="253" spans="1:20" x14ac:dyDescent="0.3">
      <c r="A253" s="3">
        <v>4794</v>
      </c>
      <c r="B253" s="1" t="s">
        <v>431</v>
      </c>
      <c r="C253" s="1" t="s">
        <v>432</v>
      </c>
      <c r="D253" s="1" t="s">
        <v>38</v>
      </c>
      <c r="E253" s="11">
        <v>45322</v>
      </c>
      <c r="F253" s="1">
        <v>426803</v>
      </c>
      <c r="G253" s="1">
        <v>1274</v>
      </c>
      <c r="H253" s="1">
        <v>34270</v>
      </c>
      <c r="I253" s="1">
        <v>1007</v>
      </c>
      <c r="J253" s="1">
        <v>6791</v>
      </c>
      <c r="K253" s="1">
        <v>145780</v>
      </c>
      <c r="L253" s="1">
        <v>109396</v>
      </c>
      <c r="M253" s="2">
        <v>9.8565380280832143E-2</v>
      </c>
      <c r="N253" s="1">
        <v>8</v>
      </c>
      <c r="O253" s="1">
        <v>21</v>
      </c>
      <c r="P253" s="1">
        <v>1266</v>
      </c>
      <c r="Q253" s="1">
        <v>15353</v>
      </c>
      <c r="R253" s="1">
        <v>0</v>
      </c>
      <c r="S253" s="4">
        <v>11</v>
      </c>
      <c r="T253" s="1" t="s">
        <v>785</v>
      </c>
    </row>
    <row r="254" spans="1:20" x14ac:dyDescent="0.3">
      <c r="A254" s="3">
        <v>6117</v>
      </c>
      <c r="B254" s="1" t="s">
        <v>416</v>
      </c>
      <c r="C254" s="1" t="s">
        <v>433</v>
      </c>
      <c r="D254" s="1" t="s">
        <v>38</v>
      </c>
      <c r="E254" s="11">
        <v>45383</v>
      </c>
      <c r="F254" s="1">
        <v>447433</v>
      </c>
      <c r="G254" s="1">
        <v>1906</v>
      </c>
      <c r="H254" s="1">
        <v>7665</v>
      </c>
      <c r="I254" s="1">
        <v>285</v>
      </c>
      <c r="J254" s="1">
        <v>1682</v>
      </c>
      <c r="K254" s="1">
        <v>10508</v>
      </c>
      <c r="L254" s="1">
        <v>17824</v>
      </c>
      <c r="M254" s="2">
        <v>2.1527245419984669E-2</v>
      </c>
      <c r="N254" s="1">
        <v>11</v>
      </c>
      <c r="O254" s="1">
        <v>35</v>
      </c>
      <c r="P254" s="1">
        <v>748</v>
      </c>
      <c r="Q254" s="1">
        <v>1619</v>
      </c>
      <c r="R254" s="1">
        <v>71</v>
      </c>
      <c r="S254" s="4">
        <v>10</v>
      </c>
      <c r="T254" s="1" t="s">
        <v>783</v>
      </c>
    </row>
    <row r="255" spans="1:20" x14ac:dyDescent="0.3">
      <c r="A255" s="3">
        <v>8731</v>
      </c>
      <c r="B255" s="1" t="s">
        <v>132</v>
      </c>
      <c r="C255" s="1" t="s">
        <v>434</v>
      </c>
      <c r="D255" s="1" t="s">
        <v>38</v>
      </c>
      <c r="E255" s="11">
        <v>45516</v>
      </c>
      <c r="F255" s="1">
        <v>461855</v>
      </c>
      <c r="G255" s="1">
        <v>1265</v>
      </c>
      <c r="H255" s="1">
        <v>24507</v>
      </c>
      <c r="I255" s="1">
        <v>1095</v>
      </c>
      <c r="J255" s="1">
        <v>2902</v>
      </c>
      <c r="K255" s="1">
        <v>91382</v>
      </c>
      <c r="L255" s="1">
        <v>90166</v>
      </c>
      <c r="M255" s="2">
        <v>6.1716339543796211E-2</v>
      </c>
      <c r="N255" s="1">
        <v>9</v>
      </c>
      <c r="O255" s="1">
        <v>32</v>
      </c>
      <c r="P255" s="1">
        <v>723</v>
      </c>
      <c r="Q255" s="1">
        <v>15730</v>
      </c>
      <c r="R255" s="1">
        <v>418</v>
      </c>
      <c r="S255" s="4">
        <v>13</v>
      </c>
      <c r="T255" s="1" t="s">
        <v>782</v>
      </c>
    </row>
    <row r="256" spans="1:20" x14ac:dyDescent="0.3">
      <c r="A256" s="3">
        <v>4118</v>
      </c>
      <c r="B256" s="1" t="s">
        <v>377</v>
      </c>
      <c r="C256" s="1" t="s">
        <v>435</v>
      </c>
      <c r="D256" s="1" t="s">
        <v>15</v>
      </c>
      <c r="E256" s="11">
        <v>45376</v>
      </c>
      <c r="F256" s="1">
        <v>205431</v>
      </c>
      <c r="G256" s="1">
        <v>752</v>
      </c>
      <c r="H256" s="1">
        <v>11686</v>
      </c>
      <c r="I256" s="1">
        <v>463</v>
      </c>
      <c r="J256" s="1">
        <v>1022</v>
      </c>
      <c r="K256" s="1">
        <v>15452</v>
      </c>
      <c r="L256" s="1">
        <v>76315</v>
      </c>
      <c r="M256" s="2">
        <v>6.4113984744269367E-2</v>
      </c>
      <c r="N256" s="1">
        <v>15</v>
      </c>
      <c r="O256" s="1">
        <v>0</v>
      </c>
      <c r="P256" s="1">
        <v>751</v>
      </c>
      <c r="Q256" s="1">
        <v>2516</v>
      </c>
      <c r="R256" s="1">
        <v>0</v>
      </c>
      <c r="S256" s="4">
        <v>10</v>
      </c>
      <c r="T256" s="1" t="s">
        <v>783</v>
      </c>
    </row>
    <row r="257" spans="1:20" x14ac:dyDescent="0.3">
      <c r="A257" s="3">
        <v>6866</v>
      </c>
      <c r="B257" s="1" t="s">
        <v>358</v>
      </c>
      <c r="C257" s="1" t="s">
        <v>436</v>
      </c>
      <c r="D257" s="1" t="s">
        <v>38</v>
      </c>
      <c r="E257" s="11">
        <v>45371</v>
      </c>
      <c r="F257" s="1">
        <v>419337</v>
      </c>
      <c r="G257" s="1">
        <v>1030</v>
      </c>
      <c r="H257" s="1">
        <v>57501</v>
      </c>
      <c r="I257" s="1">
        <v>5977</v>
      </c>
      <c r="J257" s="1">
        <v>7043</v>
      </c>
      <c r="K257" s="1">
        <v>149972</v>
      </c>
      <c r="L257" s="1">
        <v>165749</v>
      </c>
      <c r="M257" s="2">
        <v>0.16817261534279113</v>
      </c>
      <c r="N257" s="1">
        <v>3</v>
      </c>
      <c r="O257" s="1">
        <v>9</v>
      </c>
      <c r="P257" s="1">
        <v>4483</v>
      </c>
      <c r="Q257" s="1">
        <v>22799</v>
      </c>
      <c r="R257" s="1">
        <v>786</v>
      </c>
      <c r="S257" s="4">
        <v>19</v>
      </c>
      <c r="T257" s="1" t="s">
        <v>795</v>
      </c>
    </row>
    <row r="258" spans="1:20" x14ac:dyDescent="0.3">
      <c r="A258" s="3">
        <v>9361</v>
      </c>
      <c r="B258" s="1" t="s">
        <v>63</v>
      </c>
      <c r="C258" s="1" t="s">
        <v>437</v>
      </c>
      <c r="D258" s="1" t="s">
        <v>15</v>
      </c>
      <c r="E258" s="11">
        <v>45486</v>
      </c>
      <c r="F258" s="1">
        <v>252737</v>
      </c>
      <c r="G258" s="1">
        <v>571</v>
      </c>
      <c r="H258" s="1">
        <v>10675</v>
      </c>
      <c r="I258" s="1">
        <v>126</v>
      </c>
      <c r="J258" s="1">
        <v>2883</v>
      </c>
      <c r="K258" s="1">
        <v>25822</v>
      </c>
      <c r="L258" s="1">
        <v>83515</v>
      </c>
      <c r="M258" s="2">
        <v>5.4143239810554057E-2</v>
      </c>
      <c r="N258" s="1">
        <v>20</v>
      </c>
      <c r="O258" s="1">
        <v>0</v>
      </c>
      <c r="P258" s="1">
        <v>1042</v>
      </c>
      <c r="Q258" s="1">
        <v>2112</v>
      </c>
      <c r="R258" s="1">
        <v>189</v>
      </c>
      <c r="S258" s="4">
        <v>11</v>
      </c>
      <c r="T258" s="1" t="s">
        <v>785</v>
      </c>
    </row>
    <row r="259" spans="1:20" x14ac:dyDescent="0.3">
      <c r="A259" s="3">
        <v>3939</v>
      </c>
      <c r="B259" s="1" t="s">
        <v>317</v>
      </c>
      <c r="C259" s="1" t="s">
        <v>438</v>
      </c>
      <c r="D259" s="1" t="s">
        <v>20</v>
      </c>
      <c r="E259" s="11">
        <v>45571</v>
      </c>
      <c r="F259" s="1">
        <v>411275</v>
      </c>
      <c r="G259" s="1">
        <v>1661</v>
      </c>
      <c r="H259" s="1">
        <v>32005</v>
      </c>
      <c r="I259" s="1">
        <v>1712</v>
      </c>
      <c r="J259" s="1">
        <v>6626</v>
      </c>
      <c r="K259" s="1">
        <v>100032</v>
      </c>
      <c r="L259" s="1">
        <v>159160</v>
      </c>
      <c r="M259" s="2">
        <v>9.8092517172208377E-2</v>
      </c>
      <c r="N259" s="1">
        <v>17</v>
      </c>
      <c r="O259" s="1">
        <v>0</v>
      </c>
      <c r="P259" s="1">
        <v>2943</v>
      </c>
      <c r="Q259" s="1">
        <v>9898</v>
      </c>
      <c r="R259" s="1">
        <v>121</v>
      </c>
      <c r="S259" s="4">
        <v>10</v>
      </c>
      <c r="T259" s="1" t="s">
        <v>783</v>
      </c>
    </row>
    <row r="260" spans="1:20" x14ac:dyDescent="0.3">
      <c r="A260" s="3">
        <v>4653</v>
      </c>
      <c r="B260" s="1" t="s">
        <v>305</v>
      </c>
      <c r="C260" s="1" t="s">
        <v>439</v>
      </c>
      <c r="D260" s="1" t="s">
        <v>15</v>
      </c>
      <c r="E260" s="11">
        <v>45573</v>
      </c>
      <c r="F260" s="1">
        <v>28610</v>
      </c>
      <c r="G260" s="1">
        <v>932</v>
      </c>
      <c r="H260" s="1">
        <v>2132</v>
      </c>
      <c r="I260" s="1">
        <v>392</v>
      </c>
      <c r="J260" s="1">
        <v>142</v>
      </c>
      <c r="K260" s="1">
        <v>3430</v>
      </c>
      <c r="L260" s="1">
        <v>7137</v>
      </c>
      <c r="M260" s="2">
        <v>9.3184201328206914E-2</v>
      </c>
      <c r="N260" s="1">
        <v>5</v>
      </c>
      <c r="O260" s="1">
        <v>0</v>
      </c>
      <c r="P260" s="1">
        <v>116</v>
      </c>
      <c r="Q260" s="1">
        <v>240</v>
      </c>
      <c r="R260" s="1">
        <v>0</v>
      </c>
      <c r="S260" s="4">
        <v>19</v>
      </c>
      <c r="T260" s="1" t="s">
        <v>795</v>
      </c>
    </row>
    <row r="261" spans="1:20" x14ac:dyDescent="0.3">
      <c r="A261" s="3">
        <v>6815</v>
      </c>
      <c r="B261" s="1" t="s">
        <v>440</v>
      </c>
      <c r="C261" s="1" t="s">
        <v>441</v>
      </c>
      <c r="D261" s="1" t="s">
        <v>20</v>
      </c>
      <c r="E261" s="11">
        <v>45531</v>
      </c>
      <c r="F261" s="1">
        <v>316912</v>
      </c>
      <c r="G261" s="1">
        <v>1810</v>
      </c>
      <c r="H261" s="1">
        <v>23206</v>
      </c>
      <c r="I261" s="1">
        <v>281</v>
      </c>
      <c r="J261" s="1">
        <v>2371</v>
      </c>
      <c r="K261" s="1">
        <v>82058</v>
      </c>
      <c r="L261" s="1">
        <v>94314</v>
      </c>
      <c r="M261" s="2">
        <v>8.1593628515171407E-2</v>
      </c>
      <c r="N261" s="1">
        <v>7</v>
      </c>
      <c r="O261" s="1">
        <v>0</v>
      </c>
      <c r="P261" s="1">
        <v>1916</v>
      </c>
      <c r="Q261" s="1">
        <v>6555</v>
      </c>
      <c r="R261" s="1">
        <v>0</v>
      </c>
      <c r="S261" s="4">
        <v>20</v>
      </c>
      <c r="T261" s="1" t="s">
        <v>797</v>
      </c>
    </row>
    <row r="262" spans="1:20" x14ac:dyDescent="0.3">
      <c r="A262" s="3">
        <v>2449</v>
      </c>
      <c r="B262" s="1" t="s">
        <v>442</v>
      </c>
      <c r="C262" s="1" t="s">
        <v>443</v>
      </c>
      <c r="D262" s="1" t="s">
        <v>20</v>
      </c>
      <c r="E262" s="11">
        <v>45325</v>
      </c>
      <c r="F262" s="1">
        <v>441665</v>
      </c>
      <c r="G262" s="1">
        <v>773</v>
      </c>
      <c r="H262" s="1">
        <v>29515</v>
      </c>
      <c r="I262" s="1">
        <v>1800</v>
      </c>
      <c r="J262" s="1">
        <v>7746</v>
      </c>
      <c r="K262" s="1">
        <v>73394</v>
      </c>
      <c r="L262" s="1">
        <v>200972</v>
      </c>
      <c r="M262" s="2">
        <v>8.844033373710844E-2</v>
      </c>
      <c r="N262" s="1">
        <v>17</v>
      </c>
      <c r="O262" s="1">
        <v>0</v>
      </c>
      <c r="P262" s="1">
        <v>2730</v>
      </c>
      <c r="Q262" s="1">
        <v>11021</v>
      </c>
      <c r="R262" s="1">
        <v>512</v>
      </c>
      <c r="S262" s="4">
        <v>19</v>
      </c>
      <c r="T262" s="1" t="s">
        <v>795</v>
      </c>
    </row>
    <row r="263" spans="1:20" x14ac:dyDescent="0.3">
      <c r="A263" s="3">
        <v>6146</v>
      </c>
      <c r="B263" s="1" t="s">
        <v>444</v>
      </c>
      <c r="C263" s="1" t="s">
        <v>445</v>
      </c>
      <c r="D263" s="1" t="s">
        <v>15</v>
      </c>
      <c r="E263" s="11">
        <v>45621</v>
      </c>
      <c r="F263" s="1">
        <v>293385</v>
      </c>
      <c r="G263" s="1">
        <v>731</v>
      </c>
      <c r="H263" s="1">
        <v>10149</v>
      </c>
      <c r="I263" s="1">
        <v>1413</v>
      </c>
      <c r="J263" s="1">
        <v>1957</v>
      </c>
      <c r="K263" s="1">
        <v>42584</v>
      </c>
      <c r="L263" s="1">
        <v>48013</v>
      </c>
      <c r="M263" s="2">
        <v>4.6079383744908567E-2</v>
      </c>
      <c r="N263" s="1">
        <v>11</v>
      </c>
      <c r="O263" s="1">
        <v>0</v>
      </c>
      <c r="P263" s="1">
        <v>475</v>
      </c>
      <c r="Q263" s="1">
        <v>6857</v>
      </c>
      <c r="R263" s="1">
        <v>0</v>
      </c>
      <c r="S263" s="4">
        <v>15</v>
      </c>
      <c r="T263" s="1" t="s">
        <v>789</v>
      </c>
    </row>
    <row r="264" spans="1:20" x14ac:dyDescent="0.3">
      <c r="A264" s="3">
        <v>4855</v>
      </c>
      <c r="B264" s="1" t="s">
        <v>358</v>
      </c>
      <c r="C264" s="1" t="s">
        <v>446</v>
      </c>
      <c r="D264" s="1" t="s">
        <v>15</v>
      </c>
      <c r="E264" s="11">
        <v>45596</v>
      </c>
      <c r="F264" s="1">
        <v>484369</v>
      </c>
      <c r="G264" s="1">
        <v>1998</v>
      </c>
      <c r="H264" s="1">
        <v>53146</v>
      </c>
      <c r="I264" s="1">
        <v>3227</v>
      </c>
      <c r="J264" s="1">
        <v>14701</v>
      </c>
      <c r="K264" s="1">
        <v>84094</v>
      </c>
      <c r="L264" s="1">
        <v>311461</v>
      </c>
      <c r="M264" s="2">
        <v>0.14673523697841934</v>
      </c>
      <c r="N264" s="1">
        <v>16</v>
      </c>
      <c r="O264" s="1">
        <v>0</v>
      </c>
      <c r="P264" s="1">
        <v>1558</v>
      </c>
      <c r="Q264" s="1">
        <v>7608</v>
      </c>
      <c r="R264" s="1">
        <v>0</v>
      </c>
      <c r="S264" s="4">
        <v>23</v>
      </c>
      <c r="T264" s="1" t="s">
        <v>786</v>
      </c>
    </row>
    <row r="265" spans="1:20" x14ac:dyDescent="0.3">
      <c r="A265" s="3">
        <v>2328</v>
      </c>
      <c r="B265" s="1" t="s">
        <v>35</v>
      </c>
      <c r="C265" s="1" t="s">
        <v>447</v>
      </c>
      <c r="D265" s="1" t="s">
        <v>20</v>
      </c>
      <c r="E265" s="11">
        <v>45320</v>
      </c>
      <c r="F265" s="1">
        <v>376747</v>
      </c>
      <c r="G265" s="1">
        <v>1184</v>
      </c>
      <c r="H265" s="1">
        <v>32399</v>
      </c>
      <c r="I265" s="1">
        <v>3375</v>
      </c>
      <c r="J265" s="1">
        <v>8718</v>
      </c>
      <c r="K265" s="1">
        <v>69620</v>
      </c>
      <c r="L265" s="1">
        <v>172323</v>
      </c>
      <c r="M265" s="2">
        <v>0.11809516731387376</v>
      </c>
      <c r="N265" s="1">
        <v>24</v>
      </c>
      <c r="O265" s="1">
        <v>0</v>
      </c>
      <c r="P265" s="1">
        <v>2940</v>
      </c>
      <c r="Q265" s="1">
        <v>13042</v>
      </c>
      <c r="R265" s="1">
        <v>0</v>
      </c>
      <c r="S265" s="4">
        <v>17</v>
      </c>
      <c r="T265" s="1" t="s">
        <v>791</v>
      </c>
    </row>
    <row r="266" spans="1:20" x14ac:dyDescent="0.3">
      <c r="A266" s="3">
        <v>4017</v>
      </c>
      <c r="B266" s="1" t="s">
        <v>448</v>
      </c>
      <c r="C266" s="1" t="s">
        <v>449</v>
      </c>
      <c r="D266" s="1" t="s">
        <v>38</v>
      </c>
      <c r="E266" s="11">
        <v>45578</v>
      </c>
      <c r="F266" s="1">
        <v>306831</v>
      </c>
      <c r="G266" s="1">
        <v>138</v>
      </c>
      <c r="H266" s="1">
        <v>30153</v>
      </c>
      <c r="I266" s="1">
        <v>2567</v>
      </c>
      <c r="J266" s="1">
        <v>5560</v>
      </c>
      <c r="K266" s="1">
        <v>84905</v>
      </c>
      <c r="L266" s="1">
        <v>164889</v>
      </c>
      <c r="M266" s="2">
        <v>0.12475923228096249</v>
      </c>
      <c r="N266" s="1">
        <v>5</v>
      </c>
      <c r="O266" s="1">
        <v>24</v>
      </c>
      <c r="P266" s="1">
        <v>2495</v>
      </c>
      <c r="Q266" s="1">
        <v>11213</v>
      </c>
      <c r="R266" s="1">
        <v>764</v>
      </c>
      <c r="S266" s="4">
        <v>15</v>
      </c>
      <c r="T266" s="1" t="s">
        <v>789</v>
      </c>
    </row>
    <row r="267" spans="1:20" x14ac:dyDescent="0.3">
      <c r="A267" s="3">
        <v>8178</v>
      </c>
      <c r="B267" s="1" t="s">
        <v>292</v>
      </c>
      <c r="C267" s="1" t="s">
        <v>450</v>
      </c>
      <c r="D267" s="1" t="s">
        <v>20</v>
      </c>
      <c r="E267" s="11">
        <v>45491</v>
      </c>
      <c r="F267" s="1">
        <v>224673</v>
      </c>
      <c r="G267" s="1">
        <v>1800</v>
      </c>
      <c r="H267" s="1">
        <v>8072</v>
      </c>
      <c r="I267" s="1">
        <v>1198</v>
      </c>
      <c r="J267" s="1">
        <v>662</v>
      </c>
      <c r="K267" s="1">
        <v>30450</v>
      </c>
      <c r="L267" s="1">
        <v>20237</v>
      </c>
      <c r="M267" s="2">
        <v>4.4206468957106552E-2</v>
      </c>
      <c r="N267" s="1">
        <v>25</v>
      </c>
      <c r="O267" s="1">
        <v>0</v>
      </c>
      <c r="P267" s="1">
        <v>470</v>
      </c>
      <c r="Q267" s="1">
        <v>5163</v>
      </c>
      <c r="R267" s="1">
        <v>455</v>
      </c>
      <c r="S267" s="4">
        <v>9</v>
      </c>
      <c r="T267" s="1" t="s">
        <v>798</v>
      </c>
    </row>
    <row r="268" spans="1:20" x14ac:dyDescent="0.3">
      <c r="A268" s="3">
        <v>2449</v>
      </c>
      <c r="B268" s="1" t="s">
        <v>124</v>
      </c>
      <c r="C268" s="1" t="s">
        <v>451</v>
      </c>
      <c r="D268" s="1" t="s">
        <v>38</v>
      </c>
      <c r="E268" s="11">
        <v>45371</v>
      </c>
      <c r="F268" s="1">
        <v>198517</v>
      </c>
      <c r="G268" s="1">
        <v>180</v>
      </c>
      <c r="H268" s="1">
        <v>4619</v>
      </c>
      <c r="I268" s="1">
        <v>334</v>
      </c>
      <c r="J268" s="1">
        <v>49</v>
      </c>
      <c r="K268" s="1">
        <v>8722</v>
      </c>
      <c r="L268" s="1">
        <v>31449</v>
      </c>
      <c r="M268" s="2">
        <v>2.5196834528025309E-2</v>
      </c>
      <c r="N268" s="1">
        <v>7</v>
      </c>
      <c r="O268" s="1">
        <v>44</v>
      </c>
      <c r="P268" s="1">
        <v>441</v>
      </c>
      <c r="Q268" s="1">
        <v>441</v>
      </c>
      <c r="R268" s="1">
        <v>6</v>
      </c>
      <c r="S268" s="4">
        <v>13</v>
      </c>
      <c r="T268" s="1" t="s">
        <v>782</v>
      </c>
    </row>
    <row r="269" spans="1:20" x14ac:dyDescent="0.3">
      <c r="A269" s="3">
        <v>6722</v>
      </c>
      <c r="B269" s="1" t="s">
        <v>452</v>
      </c>
      <c r="C269" s="1" t="s">
        <v>453</v>
      </c>
      <c r="D269" s="1" t="s">
        <v>15</v>
      </c>
      <c r="E269" s="11">
        <v>45479</v>
      </c>
      <c r="F269" s="1">
        <v>37680</v>
      </c>
      <c r="G269" s="1">
        <v>1383</v>
      </c>
      <c r="H269" s="1">
        <v>2001</v>
      </c>
      <c r="I269" s="1">
        <v>184</v>
      </c>
      <c r="J269" s="1">
        <v>273</v>
      </c>
      <c r="K269" s="1">
        <v>8880</v>
      </c>
      <c r="L269" s="1">
        <v>9846</v>
      </c>
      <c r="M269" s="2">
        <v>6.5233545647558386E-2</v>
      </c>
      <c r="N269" s="1">
        <v>23</v>
      </c>
      <c r="O269" s="1">
        <v>0</v>
      </c>
      <c r="P269" s="1">
        <v>179</v>
      </c>
      <c r="Q269" s="1">
        <v>1195</v>
      </c>
      <c r="R269" s="1">
        <v>40</v>
      </c>
      <c r="S269" s="4">
        <v>18</v>
      </c>
      <c r="T269" s="1" t="s">
        <v>793</v>
      </c>
    </row>
    <row r="270" spans="1:20" x14ac:dyDescent="0.3">
      <c r="A270" s="3">
        <v>7251</v>
      </c>
      <c r="B270" s="1" t="s">
        <v>454</v>
      </c>
      <c r="C270" s="1" t="s">
        <v>455</v>
      </c>
      <c r="D270" s="1" t="s">
        <v>15</v>
      </c>
      <c r="E270" s="11">
        <v>45403</v>
      </c>
      <c r="F270" s="1">
        <v>458616</v>
      </c>
      <c r="G270" s="1">
        <v>1026</v>
      </c>
      <c r="H270" s="1">
        <v>17261</v>
      </c>
      <c r="I270" s="1">
        <v>3310</v>
      </c>
      <c r="J270" s="1">
        <v>1977</v>
      </c>
      <c r="K270" s="1">
        <v>76774</v>
      </c>
      <c r="L270" s="1">
        <v>96227</v>
      </c>
      <c r="M270" s="2">
        <v>4.9165314773143544E-2</v>
      </c>
      <c r="N270" s="1">
        <v>24</v>
      </c>
      <c r="O270" s="1">
        <v>0</v>
      </c>
      <c r="P270" s="1">
        <v>1120</v>
      </c>
      <c r="Q270" s="1">
        <v>6303</v>
      </c>
      <c r="R270" s="1">
        <v>54</v>
      </c>
      <c r="S270" s="4">
        <v>23</v>
      </c>
      <c r="T270" s="1" t="s">
        <v>786</v>
      </c>
    </row>
    <row r="271" spans="1:20" x14ac:dyDescent="0.3">
      <c r="A271" s="3">
        <v>4505</v>
      </c>
      <c r="B271" s="1" t="s">
        <v>83</v>
      </c>
      <c r="C271" s="1" t="s">
        <v>456</v>
      </c>
      <c r="D271" s="1" t="s">
        <v>15</v>
      </c>
      <c r="E271" s="11">
        <v>45588</v>
      </c>
      <c r="F271" s="1">
        <v>368790</v>
      </c>
      <c r="G271" s="1">
        <v>1791</v>
      </c>
      <c r="H271" s="1">
        <v>21915</v>
      </c>
      <c r="I271" s="1">
        <v>1740</v>
      </c>
      <c r="J271" s="1">
        <v>2118</v>
      </c>
      <c r="K271" s="1">
        <v>104383</v>
      </c>
      <c r="L271" s="1">
        <v>46278</v>
      </c>
      <c r="M271" s="2">
        <v>6.9885300577564466E-2</v>
      </c>
      <c r="N271" s="1">
        <v>24</v>
      </c>
      <c r="O271" s="1">
        <v>0</v>
      </c>
      <c r="P271" s="1">
        <v>1788</v>
      </c>
      <c r="Q271" s="1">
        <v>9741</v>
      </c>
      <c r="R271" s="1">
        <v>301</v>
      </c>
      <c r="S271" s="4">
        <v>6</v>
      </c>
      <c r="T271" s="1" t="s">
        <v>792</v>
      </c>
    </row>
    <row r="272" spans="1:20" x14ac:dyDescent="0.3">
      <c r="A272" s="3">
        <v>2522</v>
      </c>
      <c r="B272" s="1" t="s">
        <v>457</v>
      </c>
      <c r="C272" s="1" t="s">
        <v>458</v>
      </c>
      <c r="D272" s="1" t="s">
        <v>15</v>
      </c>
      <c r="E272" s="11">
        <v>45456</v>
      </c>
      <c r="F272" s="1">
        <v>181140</v>
      </c>
      <c r="G272" s="1">
        <v>758</v>
      </c>
      <c r="H272" s="1">
        <v>5426</v>
      </c>
      <c r="I272" s="1">
        <v>732</v>
      </c>
      <c r="J272" s="1">
        <v>305</v>
      </c>
      <c r="K272" s="1">
        <v>18311</v>
      </c>
      <c r="L272" s="1">
        <v>29613</v>
      </c>
      <c r="M272" s="2">
        <v>3.5679584851496082E-2</v>
      </c>
      <c r="N272" s="1">
        <v>14</v>
      </c>
      <c r="O272" s="1">
        <v>0</v>
      </c>
      <c r="P272" s="1">
        <v>533</v>
      </c>
      <c r="Q272" s="1">
        <v>2310</v>
      </c>
      <c r="R272" s="1">
        <v>208</v>
      </c>
      <c r="S272" s="4">
        <v>13</v>
      </c>
      <c r="T272" s="1" t="s">
        <v>782</v>
      </c>
    </row>
    <row r="273" spans="1:20" x14ac:dyDescent="0.3">
      <c r="A273" s="3">
        <v>1844</v>
      </c>
      <c r="B273" s="1" t="s">
        <v>459</v>
      </c>
      <c r="C273" s="1" t="s">
        <v>460</v>
      </c>
      <c r="D273" s="1" t="s">
        <v>38</v>
      </c>
      <c r="E273" s="11">
        <v>45628</v>
      </c>
      <c r="F273" s="1">
        <v>358188</v>
      </c>
      <c r="G273" s="1">
        <v>677</v>
      </c>
      <c r="H273" s="1">
        <v>51067</v>
      </c>
      <c r="I273" s="1">
        <v>5527</v>
      </c>
      <c r="J273" s="1">
        <v>2016</v>
      </c>
      <c r="K273" s="1">
        <v>241543</v>
      </c>
      <c r="L273" s="1">
        <v>288552</v>
      </c>
      <c r="M273" s="2">
        <v>0.16362915563893821</v>
      </c>
      <c r="N273" s="1">
        <v>7</v>
      </c>
      <c r="O273" s="1">
        <v>13</v>
      </c>
      <c r="P273" s="1">
        <v>2195</v>
      </c>
      <c r="Q273" s="1">
        <v>30198</v>
      </c>
      <c r="R273" s="1">
        <v>664</v>
      </c>
      <c r="S273" s="4">
        <v>22</v>
      </c>
      <c r="T273" s="1" t="s">
        <v>784</v>
      </c>
    </row>
    <row r="274" spans="1:20" x14ac:dyDescent="0.3">
      <c r="A274" s="3">
        <v>6404</v>
      </c>
      <c r="B274" s="1" t="s">
        <v>369</v>
      </c>
      <c r="C274" s="1" t="s">
        <v>461</v>
      </c>
      <c r="D274" s="1" t="s">
        <v>38</v>
      </c>
      <c r="E274" s="11">
        <v>45607</v>
      </c>
      <c r="F274" s="1">
        <v>198785</v>
      </c>
      <c r="G274" s="1">
        <v>945</v>
      </c>
      <c r="H274" s="1">
        <v>5876</v>
      </c>
      <c r="I274" s="1">
        <v>347</v>
      </c>
      <c r="J274" s="1">
        <v>1024</v>
      </c>
      <c r="K274" s="1">
        <v>28116</v>
      </c>
      <c r="L274" s="1">
        <v>19468</v>
      </c>
      <c r="M274" s="2">
        <v>3.6456473073924092E-2</v>
      </c>
      <c r="N274" s="1">
        <v>13</v>
      </c>
      <c r="O274" s="1">
        <v>18</v>
      </c>
      <c r="P274" s="1">
        <v>487</v>
      </c>
      <c r="Q274" s="1">
        <v>2292</v>
      </c>
      <c r="R274" s="1">
        <v>0</v>
      </c>
      <c r="S274" s="4">
        <v>10</v>
      </c>
      <c r="T274" s="1" t="s">
        <v>783</v>
      </c>
    </row>
    <row r="275" spans="1:20" x14ac:dyDescent="0.3">
      <c r="A275" s="3">
        <v>1823</v>
      </c>
      <c r="B275" s="1" t="s">
        <v>362</v>
      </c>
      <c r="C275" s="1" t="s">
        <v>462</v>
      </c>
      <c r="D275" s="1" t="s">
        <v>15</v>
      </c>
      <c r="E275" s="11">
        <v>45585</v>
      </c>
      <c r="F275" s="1">
        <v>255901</v>
      </c>
      <c r="G275" s="1">
        <v>553</v>
      </c>
      <c r="H275" s="1">
        <v>26399</v>
      </c>
      <c r="I275" s="1">
        <v>3979</v>
      </c>
      <c r="J275" s="1">
        <v>535</v>
      </c>
      <c r="K275" s="1">
        <v>49540</v>
      </c>
      <c r="L275" s="1">
        <v>60622</v>
      </c>
      <c r="M275" s="2">
        <v>0.12080062211558376</v>
      </c>
      <c r="N275" s="1">
        <v>23</v>
      </c>
      <c r="O275" s="1">
        <v>0</v>
      </c>
      <c r="P275" s="1">
        <v>976</v>
      </c>
      <c r="Q275" s="1">
        <v>4411</v>
      </c>
      <c r="R275" s="1">
        <v>242</v>
      </c>
      <c r="S275" s="4">
        <v>16</v>
      </c>
      <c r="T275" s="1" t="s">
        <v>790</v>
      </c>
    </row>
    <row r="276" spans="1:20" x14ac:dyDescent="0.3">
      <c r="A276" s="3">
        <v>1163</v>
      </c>
      <c r="B276" s="1" t="s">
        <v>341</v>
      </c>
      <c r="C276" s="1" t="s">
        <v>463</v>
      </c>
      <c r="D276" s="1" t="s">
        <v>38</v>
      </c>
      <c r="E276" s="11">
        <v>45337</v>
      </c>
      <c r="F276" s="1">
        <v>141108</v>
      </c>
      <c r="G276" s="1">
        <v>834</v>
      </c>
      <c r="H276" s="1">
        <v>19047</v>
      </c>
      <c r="I276" s="1">
        <v>471</v>
      </c>
      <c r="J276" s="1">
        <v>4570</v>
      </c>
      <c r="K276" s="1">
        <v>38781</v>
      </c>
      <c r="L276" s="1">
        <v>97745</v>
      </c>
      <c r="M276" s="2">
        <v>0.17070612580434844</v>
      </c>
      <c r="N276" s="1">
        <v>12</v>
      </c>
      <c r="O276" s="1">
        <v>32</v>
      </c>
      <c r="P276" s="1">
        <v>406</v>
      </c>
      <c r="Q276" s="1">
        <v>3778</v>
      </c>
      <c r="R276" s="1">
        <v>361</v>
      </c>
      <c r="S276" s="4">
        <v>16</v>
      </c>
      <c r="T276" s="1" t="s">
        <v>790</v>
      </c>
    </row>
    <row r="277" spans="1:20" x14ac:dyDescent="0.3">
      <c r="A277" s="3">
        <v>6017</v>
      </c>
      <c r="B277" s="1" t="s">
        <v>223</v>
      </c>
      <c r="C277" s="1" t="s">
        <v>464</v>
      </c>
      <c r="D277" s="1" t="s">
        <v>20</v>
      </c>
      <c r="E277" s="11">
        <v>45373</v>
      </c>
      <c r="F277" s="1">
        <v>408107</v>
      </c>
      <c r="G277" s="1">
        <v>1433</v>
      </c>
      <c r="H277" s="1">
        <v>46114</v>
      </c>
      <c r="I277" s="1">
        <v>93</v>
      </c>
      <c r="J277" s="1">
        <v>8464</v>
      </c>
      <c r="K277" s="1">
        <v>125253</v>
      </c>
      <c r="L277" s="1">
        <v>253891</v>
      </c>
      <c r="M277" s="2">
        <v>0.13396241671914474</v>
      </c>
      <c r="N277" s="1">
        <v>22</v>
      </c>
      <c r="O277" s="1">
        <v>0</v>
      </c>
      <c r="P277" s="1">
        <v>1416</v>
      </c>
      <c r="Q277" s="1">
        <v>22410</v>
      </c>
      <c r="R277" s="1">
        <v>0</v>
      </c>
      <c r="S277" s="4">
        <v>19</v>
      </c>
      <c r="T277" s="1" t="s">
        <v>795</v>
      </c>
    </row>
    <row r="278" spans="1:20" x14ac:dyDescent="0.3">
      <c r="A278" s="3">
        <v>4958</v>
      </c>
      <c r="B278" s="1" t="s">
        <v>421</v>
      </c>
      <c r="C278" s="1" t="s">
        <v>465</v>
      </c>
      <c r="D278" s="1" t="s">
        <v>20</v>
      </c>
      <c r="E278" s="11">
        <v>45498</v>
      </c>
      <c r="F278" s="1">
        <v>145821</v>
      </c>
      <c r="G278" s="1">
        <v>1393</v>
      </c>
      <c r="H278" s="1">
        <v>2936</v>
      </c>
      <c r="I278" s="1">
        <v>503</v>
      </c>
      <c r="J278" s="1">
        <v>796</v>
      </c>
      <c r="K278" s="1">
        <v>8166</v>
      </c>
      <c r="L278" s="1">
        <v>7323</v>
      </c>
      <c r="M278" s="2">
        <v>2.9042456162006843E-2</v>
      </c>
      <c r="N278" s="1">
        <v>24</v>
      </c>
      <c r="O278" s="1">
        <v>0</v>
      </c>
      <c r="P278" s="1">
        <v>222</v>
      </c>
      <c r="Q278" s="1">
        <v>1264</v>
      </c>
      <c r="R278" s="1">
        <v>0</v>
      </c>
      <c r="S278" s="4">
        <v>7</v>
      </c>
      <c r="T278" s="1" t="s">
        <v>794</v>
      </c>
    </row>
    <row r="279" spans="1:20" x14ac:dyDescent="0.3">
      <c r="A279" s="3">
        <v>6598</v>
      </c>
      <c r="B279" s="1" t="s">
        <v>406</v>
      </c>
      <c r="C279" s="1" t="s">
        <v>466</v>
      </c>
      <c r="D279" s="1" t="s">
        <v>20</v>
      </c>
      <c r="E279" s="11">
        <v>45446</v>
      </c>
      <c r="F279" s="1">
        <v>486967</v>
      </c>
      <c r="G279" s="1">
        <v>748</v>
      </c>
      <c r="H279" s="1">
        <v>31278</v>
      </c>
      <c r="I279" s="1">
        <v>4357</v>
      </c>
      <c r="J279" s="1">
        <v>7893</v>
      </c>
      <c r="K279" s="1">
        <v>57750</v>
      </c>
      <c r="L279" s="1">
        <v>230320</v>
      </c>
      <c r="M279" s="2">
        <v>8.9385933749104154E-2</v>
      </c>
      <c r="N279" s="1">
        <v>19</v>
      </c>
      <c r="O279" s="1">
        <v>0</v>
      </c>
      <c r="P279" s="1">
        <v>1547</v>
      </c>
      <c r="Q279" s="1">
        <v>6968</v>
      </c>
      <c r="R279" s="1">
        <v>0</v>
      </c>
      <c r="S279" s="4">
        <v>13</v>
      </c>
      <c r="T279" s="1" t="s">
        <v>782</v>
      </c>
    </row>
    <row r="280" spans="1:20" x14ac:dyDescent="0.3">
      <c r="A280" s="3">
        <v>1123</v>
      </c>
      <c r="B280" s="1" t="s">
        <v>250</v>
      </c>
      <c r="C280" s="1" t="s">
        <v>467</v>
      </c>
      <c r="D280" s="1" t="s">
        <v>20</v>
      </c>
      <c r="E280" s="11">
        <v>45410</v>
      </c>
      <c r="F280" s="1">
        <v>189569</v>
      </c>
      <c r="G280" s="1">
        <v>1654</v>
      </c>
      <c r="H280" s="1">
        <v>4584</v>
      </c>
      <c r="I280" s="1">
        <v>435</v>
      </c>
      <c r="J280" s="1">
        <v>967</v>
      </c>
      <c r="K280" s="1">
        <v>19970</v>
      </c>
      <c r="L280" s="1">
        <v>17143</v>
      </c>
      <c r="M280" s="2">
        <v>3.1576892846404213E-2</v>
      </c>
      <c r="N280" s="1">
        <v>15</v>
      </c>
      <c r="O280" s="1">
        <v>0</v>
      </c>
      <c r="P280" s="1">
        <v>128</v>
      </c>
      <c r="Q280" s="1">
        <v>1422</v>
      </c>
      <c r="R280" s="1">
        <v>32</v>
      </c>
      <c r="S280" s="4">
        <v>20</v>
      </c>
      <c r="T280" s="1" t="s">
        <v>797</v>
      </c>
    </row>
    <row r="281" spans="1:20" x14ac:dyDescent="0.3">
      <c r="A281" s="3">
        <v>6289</v>
      </c>
      <c r="B281" s="1" t="s">
        <v>215</v>
      </c>
      <c r="C281" s="1" t="s">
        <v>468</v>
      </c>
      <c r="D281" s="1" t="s">
        <v>15</v>
      </c>
      <c r="E281" s="11">
        <v>45654</v>
      </c>
      <c r="F281" s="1">
        <v>177703</v>
      </c>
      <c r="G281" s="1">
        <v>1482</v>
      </c>
      <c r="H281" s="1">
        <v>12632</v>
      </c>
      <c r="I281" s="1">
        <v>582</v>
      </c>
      <c r="J281" s="1">
        <v>1169</v>
      </c>
      <c r="K281" s="1">
        <v>33595</v>
      </c>
      <c r="L281" s="1">
        <v>40724</v>
      </c>
      <c r="M281" s="2">
        <v>8.0938419722795904E-2</v>
      </c>
      <c r="N281" s="1">
        <v>9</v>
      </c>
      <c r="O281" s="1">
        <v>0</v>
      </c>
      <c r="P281" s="1">
        <v>629</v>
      </c>
      <c r="Q281" s="1">
        <v>5607</v>
      </c>
      <c r="R281" s="1">
        <v>155</v>
      </c>
      <c r="S281" s="4">
        <v>22</v>
      </c>
      <c r="T281" s="1" t="s">
        <v>784</v>
      </c>
    </row>
    <row r="282" spans="1:20" x14ac:dyDescent="0.3">
      <c r="A282" s="3">
        <v>2401</v>
      </c>
      <c r="B282" s="1" t="s">
        <v>213</v>
      </c>
      <c r="C282" s="1" t="s">
        <v>469</v>
      </c>
      <c r="D282" s="1" t="s">
        <v>20</v>
      </c>
      <c r="E282" s="11">
        <v>45482</v>
      </c>
      <c r="F282" s="1">
        <v>191374</v>
      </c>
      <c r="G282" s="1">
        <v>1369</v>
      </c>
      <c r="H282" s="1">
        <v>999</v>
      </c>
      <c r="I282" s="1">
        <v>97</v>
      </c>
      <c r="J282" s="1">
        <v>171</v>
      </c>
      <c r="K282" s="1">
        <v>1656</v>
      </c>
      <c r="L282" s="1">
        <v>6850</v>
      </c>
      <c r="M282" s="2">
        <v>6.6205440655470443E-3</v>
      </c>
      <c r="N282" s="1">
        <v>8</v>
      </c>
      <c r="O282" s="1">
        <v>0</v>
      </c>
      <c r="P282" s="1">
        <v>53</v>
      </c>
      <c r="Q282" s="1">
        <v>261</v>
      </c>
      <c r="R282" s="1">
        <v>17</v>
      </c>
      <c r="S282" s="4">
        <v>14</v>
      </c>
      <c r="T282" s="1" t="s">
        <v>788</v>
      </c>
    </row>
    <row r="283" spans="1:20" x14ac:dyDescent="0.3">
      <c r="A283" s="3">
        <v>6574</v>
      </c>
      <c r="B283" s="1" t="s">
        <v>470</v>
      </c>
      <c r="C283" s="1" t="s">
        <v>471</v>
      </c>
      <c r="D283" s="1" t="s">
        <v>20</v>
      </c>
      <c r="E283" s="11">
        <v>45341</v>
      </c>
      <c r="F283" s="1">
        <v>84464</v>
      </c>
      <c r="G283" s="1">
        <v>899</v>
      </c>
      <c r="H283" s="1">
        <v>9771</v>
      </c>
      <c r="I283" s="1">
        <v>1551</v>
      </c>
      <c r="J283" s="1">
        <v>1648</v>
      </c>
      <c r="K283" s="1">
        <v>32501</v>
      </c>
      <c r="L283" s="1">
        <v>52993</v>
      </c>
      <c r="M283" s="2">
        <v>0.15355654480015155</v>
      </c>
      <c r="N283" s="1">
        <v>10</v>
      </c>
      <c r="O283" s="1">
        <v>0</v>
      </c>
      <c r="P283" s="1">
        <v>976</v>
      </c>
      <c r="Q283" s="1">
        <v>4309</v>
      </c>
      <c r="R283" s="1">
        <v>356</v>
      </c>
      <c r="S283" s="4">
        <v>19</v>
      </c>
      <c r="T283" s="1" t="s">
        <v>795</v>
      </c>
    </row>
    <row r="284" spans="1:20" x14ac:dyDescent="0.3">
      <c r="A284" s="3">
        <v>8449</v>
      </c>
      <c r="B284" s="1" t="s">
        <v>472</v>
      </c>
      <c r="C284" s="1" t="s">
        <v>473</v>
      </c>
      <c r="D284" s="1" t="s">
        <v>38</v>
      </c>
      <c r="E284" s="11">
        <v>45317</v>
      </c>
      <c r="F284" s="1">
        <v>263419</v>
      </c>
      <c r="G284" s="1">
        <v>288</v>
      </c>
      <c r="H284" s="1">
        <v>15054</v>
      </c>
      <c r="I284" s="1">
        <v>1858</v>
      </c>
      <c r="J284" s="1">
        <v>138</v>
      </c>
      <c r="K284" s="1">
        <v>23600</v>
      </c>
      <c r="L284" s="1">
        <v>42362</v>
      </c>
      <c r="M284" s="2">
        <v>6.4725779081994839E-2</v>
      </c>
      <c r="N284" s="1">
        <v>16</v>
      </c>
      <c r="O284" s="1">
        <v>25</v>
      </c>
      <c r="P284" s="1">
        <v>387</v>
      </c>
      <c r="Q284" s="1">
        <v>3313</v>
      </c>
      <c r="R284" s="1">
        <v>0</v>
      </c>
      <c r="S284" s="4">
        <v>9</v>
      </c>
      <c r="T284" s="1" t="s">
        <v>798</v>
      </c>
    </row>
    <row r="285" spans="1:20" x14ac:dyDescent="0.3">
      <c r="A285" s="3">
        <v>5241</v>
      </c>
      <c r="B285" s="1" t="s">
        <v>47</v>
      </c>
      <c r="C285" s="1" t="s">
        <v>474</v>
      </c>
      <c r="D285" s="1" t="s">
        <v>38</v>
      </c>
      <c r="E285" s="11">
        <v>45410</v>
      </c>
      <c r="F285" s="1">
        <v>420089</v>
      </c>
      <c r="G285" s="1">
        <v>356</v>
      </c>
      <c r="H285" s="1">
        <v>24626</v>
      </c>
      <c r="I285" s="1">
        <v>3493</v>
      </c>
      <c r="J285" s="1">
        <v>5149</v>
      </c>
      <c r="K285" s="1">
        <v>32835</v>
      </c>
      <c r="L285" s="1">
        <v>166275</v>
      </c>
      <c r="M285" s="2">
        <v>7.9192742490281826E-2</v>
      </c>
      <c r="N285" s="1">
        <v>8</v>
      </c>
      <c r="O285" s="1">
        <v>35</v>
      </c>
      <c r="P285" s="1">
        <v>1701</v>
      </c>
      <c r="Q285" s="1">
        <v>3034</v>
      </c>
      <c r="R285" s="1">
        <v>0</v>
      </c>
      <c r="S285" s="4">
        <v>13</v>
      </c>
      <c r="T285" s="1" t="s">
        <v>782</v>
      </c>
    </row>
    <row r="286" spans="1:20" x14ac:dyDescent="0.3">
      <c r="A286" s="3">
        <v>1261</v>
      </c>
      <c r="B286" s="1" t="s">
        <v>421</v>
      </c>
      <c r="C286" s="1" t="s">
        <v>475</v>
      </c>
      <c r="D286" s="1" t="s">
        <v>20</v>
      </c>
      <c r="E286" s="11">
        <v>45383</v>
      </c>
      <c r="F286" s="1">
        <v>408867</v>
      </c>
      <c r="G286" s="1">
        <v>1567</v>
      </c>
      <c r="H286" s="1">
        <v>6880</v>
      </c>
      <c r="I286" s="1">
        <v>340</v>
      </c>
      <c r="J286" s="1">
        <v>1529</v>
      </c>
      <c r="K286" s="1">
        <v>18239</v>
      </c>
      <c r="L286" s="1">
        <v>44772</v>
      </c>
      <c r="M286" s="2">
        <v>2.1398156368696911E-2</v>
      </c>
      <c r="N286" s="1">
        <v>15</v>
      </c>
      <c r="O286" s="1">
        <v>0</v>
      </c>
      <c r="P286" s="1">
        <v>200</v>
      </c>
      <c r="Q286" s="1">
        <v>1975</v>
      </c>
      <c r="R286" s="1">
        <v>0</v>
      </c>
      <c r="S286" s="4">
        <v>8</v>
      </c>
      <c r="T286" s="1" t="s">
        <v>796</v>
      </c>
    </row>
    <row r="287" spans="1:20" x14ac:dyDescent="0.3">
      <c r="A287" s="3">
        <v>2661</v>
      </c>
      <c r="B287" s="1" t="s">
        <v>61</v>
      </c>
      <c r="C287" s="1" t="s">
        <v>476</v>
      </c>
      <c r="D287" s="1" t="s">
        <v>20</v>
      </c>
      <c r="E287" s="11">
        <v>45414</v>
      </c>
      <c r="F287" s="1">
        <v>135620</v>
      </c>
      <c r="G287" s="1">
        <v>498</v>
      </c>
      <c r="H287" s="1">
        <v>19053</v>
      </c>
      <c r="I287" s="1">
        <v>2783</v>
      </c>
      <c r="J287" s="1">
        <v>2299</v>
      </c>
      <c r="K287" s="1">
        <v>57137</v>
      </c>
      <c r="L287" s="1">
        <v>106890</v>
      </c>
      <c r="M287" s="2">
        <v>0.1779604778056334</v>
      </c>
      <c r="N287" s="1">
        <v>22</v>
      </c>
      <c r="O287" s="1">
        <v>0</v>
      </c>
      <c r="P287" s="1">
        <v>401</v>
      </c>
      <c r="Q287" s="1">
        <v>4367</v>
      </c>
      <c r="R287" s="1">
        <v>0</v>
      </c>
      <c r="S287" s="4">
        <v>7</v>
      </c>
      <c r="T287" s="1" t="s">
        <v>794</v>
      </c>
    </row>
    <row r="288" spans="1:20" x14ac:dyDescent="0.3">
      <c r="A288" s="3">
        <v>2201</v>
      </c>
      <c r="B288" s="1" t="s">
        <v>477</v>
      </c>
      <c r="C288" s="1" t="s">
        <v>478</v>
      </c>
      <c r="D288" s="1" t="s">
        <v>15</v>
      </c>
      <c r="E288" s="11">
        <v>45539</v>
      </c>
      <c r="F288" s="1">
        <v>447895</v>
      </c>
      <c r="G288" s="1">
        <v>973</v>
      </c>
      <c r="H288" s="1">
        <v>13569</v>
      </c>
      <c r="I288" s="1">
        <v>263</v>
      </c>
      <c r="J288" s="1">
        <v>1154</v>
      </c>
      <c r="K288" s="1">
        <v>67476</v>
      </c>
      <c r="L288" s="1">
        <v>97209</v>
      </c>
      <c r="M288" s="2">
        <v>3.345873474809944E-2</v>
      </c>
      <c r="N288" s="1">
        <v>14</v>
      </c>
      <c r="O288" s="1">
        <v>0</v>
      </c>
      <c r="P288" s="1">
        <v>609</v>
      </c>
      <c r="Q288" s="1">
        <v>9707</v>
      </c>
      <c r="R288" s="1">
        <v>917</v>
      </c>
      <c r="S288" s="4">
        <v>18</v>
      </c>
      <c r="T288" s="1" t="s">
        <v>793</v>
      </c>
    </row>
    <row r="289" spans="1:20" x14ac:dyDescent="0.3">
      <c r="A289" s="3">
        <v>2626</v>
      </c>
      <c r="B289" s="1" t="s">
        <v>55</v>
      </c>
      <c r="C289" s="1" t="s">
        <v>479</v>
      </c>
      <c r="D289" s="1" t="s">
        <v>38</v>
      </c>
      <c r="E289" s="11">
        <v>45651</v>
      </c>
      <c r="F289" s="1">
        <v>148787</v>
      </c>
      <c r="G289" s="1">
        <v>532</v>
      </c>
      <c r="H289" s="1">
        <v>3126</v>
      </c>
      <c r="I289" s="1">
        <v>161</v>
      </c>
      <c r="J289" s="1">
        <v>361</v>
      </c>
      <c r="K289" s="1">
        <v>7794</v>
      </c>
      <c r="L289" s="1">
        <v>8364</v>
      </c>
      <c r="M289" s="2">
        <v>2.4518271085511502E-2</v>
      </c>
      <c r="N289" s="1">
        <v>11</v>
      </c>
      <c r="O289" s="1">
        <v>7</v>
      </c>
      <c r="P289" s="1">
        <v>154</v>
      </c>
      <c r="Q289" s="1">
        <v>990</v>
      </c>
      <c r="R289" s="1">
        <v>97</v>
      </c>
      <c r="S289" s="4">
        <v>20</v>
      </c>
      <c r="T289" s="1" t="s">
        <v>797</v>
      </c>
    </row>
    <row r="290" spans="1:20" x14ac:dyDescent="0.3">
      <c r="A290" s="3">
        <v>3696</v>
      </c>
      <c r="B290" s="1" t="s">
        <v>39</v>
      </c>
      <c r="C290" s="1" t="s">
        <v>480</v>
      </c>
      <c r="D290" s="1" t="s">
        <v>20</v>
      </c>
      <c r="E290" s="11">
        <v>45614</v>
      </c>
      <c r="F290" s="1">
        <v>348068</v>
      </c>
      <c r="G290" s="1">
        <v>678</v>
      </c>
      <c r="H290" s="1">
        <v>10923</v>
      </c>
      <c r="I290" s="1">
        <v>1115</v>
      </c>
      <c r="J290" s="1">
        <v>2234</v>
      </c>
      <c r="K290" s="1">
        <v>49830</v>
      </c>
      <c r="L290" s="1">
        <v>26520</v>
      </c>
      <c r="M290" s="2">
        <v>4.1003482078214602E-2</v>
      </c>
      <c r="N290" s="1">
        <v>16</v>
      </c>
      <c r="O290" s="1">
        <v>0</v>
      </c>
      <c r="P290" s="1">
        <v>946</v>
      </c>
      <c r="Q290" s="1">
        <v>3833</v>
      </c>
      <c r="R290" s="1">
        <v>0</v>
      </c>
      <c r="S290" s="4">
        <v>17</v>
      </c>
      <c r="T290" s="1" t="s">
        <v>791</v>
      </c>
    </row>
    <row r="291" spans="1:20" x14ac:dyDescent="0.3">
      <c r="A291" s="3">
        <v>1285</v>
      </c>
      <c r="B291" s="1" t="s">
        <v>481</v>
      </c>
      <c r="C291" s="1" t="s">
        <v>482</v>
      </c>
      <c r="D291" s="1" t="s">
        <v>38</v>
      </c>
      <c r="E291" s="11">
        <v>45372</v>
      </c>
      <c r="F291" s="1">
        <v>127274</v>
      </c>
      <c r="G291" s="1">
        <v>1953</v>
      </c>
      <c r="H291" s="1">
        <v>13578</v>
      </c>
      <c r="I291" s="1">
        <v>2175</v>
      </c>
      <c r="J291" s="1">
        <v>3506</v>
      </c>
      <c r="K291" s="1">
        <v>40332</v>
      </c>
      <c r="L291" s="1">
        <v>27775</v>
      </c>
      <c r="M291" s="2">
        <v>0.15131920109370334</v>
      </c>
      <c r="N291" s="1">
        <v>18</v>
      </c>
      <c r="O291" s="1">
        <v>5</v>
      </c>
      <c r="P291" s="1">
        <v>760</v>
      </c>
      <c r="Q291" s="1">
        <v>6141</v>
      </c>
      <c r="R291" s="1">
        <v>273</v>
      </c>
      <c r="S291" s="4">
        <v>21</v>
      </c>
      <c r="T291" s="1" t="s">
        <v>799</v>
      </c>
    </row>
    <row r="292" spans="1:20" x14ac:dyDescent="0.3">
      <c r="A292" s="3">
        <v>4063</v>
      </c>
      <c r="B292" s="1" t="s">
        <v>362</v>
      </c>
      <c r="C292" s="1" t="s">
        <v>483</v>
      </c>
      <c r="D292" s="1" t="s">
        <v>20</v>
      </c>
      <c r="E292" s="11">
        <v>45394</v>
      </c>
      <c r="F292" s="1">
        <v>304795</v>
      </c>
      <c r="G292" s="1">
        <v>668</v>
      </c>
      <c r="H292" s="1">
        <v>27018</v>
      </c>
      <c r="I292" s="1">
        <v>612</v>
      </c>
      <c r="J292" s="1">
        <v>6944</v>
      </c>
      <c r="K292" s="1">
        <v>66343</v>
      </c>
      <c r="L292" s="1">
        <v>134668</v>
      </c>
      <c r="M292" s="2">
        <v>0.11343361931790219</v>
      </c>
      <c r="N292" s="1">
        <v>16</v>
      </c>
      <c r="O292" s="1">
        <v>0</v>
      </c>
      <c r="P292" s="1">
        <v>1654</v>
      </c>
      <c r="Q292" s="1">
        <v>13253</v>
      </c>
      <c r="R292" s="1">
        <v>650</v>
      </c>
      <c r="S292" s="4">
        <v>23</v>
      </c>
      <c r="T292" s="1" t="s">
        <v>786</v>
      </c>
    </row>
    <row r="293" spans="1:20" x14ac:dyDescent="0.3">
      <c r="A293" s="3">
        <v>9526</v>
      </c>
      <c r="B293" s="1" t="s">
        <v>484</v>
      </c>
      <c r="C293" s="1" t="s">
        <v>485</v>
      </c>
      <c r="D293" s="1" t="s">
        <v>20</v>
      </c>
      <c r="E293" s="11">
        <v>45483</v>
      </c>
      <c r="F293" s="1">
        <v>321254</v>
      </c>
      <c r="G293" s="1">
        <v>1939</v>
      </c>
      <c r="H293" s="1">
        <v>1009</v>
      </c>
      <c r="I293" s="1">
        <v>184</v>
      </c>
      <c r="J293" s="1">
        <v>161</v>
      </c>
      <c r="K293" s="1">
        <v>4788</v>
      </c>
      <c r="L293" s="1">
        <v>3622</v>
      </c>
      <c r="M293" s="2">
        <v>4.2147335130457517E-3</v>
      </c>
      <c r="N293" s="1">
        <v>4</v>
      </c>
      <c r="O293" s="1">
        <v>0</v>
      </c>
      <c r="P293" s="1">
        <v>27</v>
      </c>
      <c r="Q293" s="1">
        <v>726</v>
      </c>
      <c r="R293" s="1">
        <v>14</v>
      </c>
      <c r="S293" s="4">
        <v>6</v>
      </c>
      <c r="T293" s="1" t="s">
        <v>792</v>
      </c>
    </row>
    <row r="294" spans="1:20" x14ac:dyDescent="0.3">
      <c r="A294" s="3">
        <v>6128</v>
      </c>
      <c r="B294" s="1" t="s">
        <v>145</v>
      </c>
      <c r="C294" s="1" t="s">
        <v>486</v>
      </c>
      <c r="D294" s="1" t="s">
        <v>20</v>
      </c>
      <c r="E294" s="11">
        <v>45575</v>
      </c>
      <c r="F294" s="1">
        <v>259228</v>
      </c>
      <c r="G294" s="1">
        <v>1810</v>
      </c>
      <c r="H294" s="1">
        <v>4270</v>
      </c>
      <c r="I294" s="1">
        <v>538</v>
      </c>
      <c r="J294" s="1">
        <v>1163</v>
      </c>
      <c r="K294" s="1">
        <v>9198</v>
      </c>
      <c r="L294" s="1">
        <v>28700</v>
      </c>
      <c r="M294" s="2">
        <v>2.303377721542426E-2</v>
      </c>
      <c r="N294" s="1">
        <v>24</v>
      </c>
      <c r="O294" s="1">
        <v>0</v>
      </c>
      <c r="P294" s="1">
        <v>164</v>
      </c>
      <c r="Q294" s="1">
        <v>1647</v>
      </c>
      <c r="R294" s="1">
        <v>0</v>
      </c>
      <c r="S294" s="4">
        <v>15</v>
      </c>
      <c r="T294" s="1" t="s">
        <v>789</v>
      </c>
    </row>
    <row r="295" spans="1:20" x14ac:dyDescent="0.3">
      <c r="A295" s="3">
        <v>1720</v>
      </c>
      <c r="B295" s="1" t="s">
        <v>83</v>
      </c>
      <c r="C295" s="1" t="s">
        <v>487</v>
      </c>
      <c r="D295" s="1" t="s">
        <v>20</v>
      </c>
      <c r="E295" s="11">
        <v>45303</v>
      </c>
      <c r="F295" s="1">
        <v>343230</v>
      </c>
      <c r="G295" s="1">
        <v>1009</v>
      </c>
      <c r="H295" s="1">
        <v>41003</v>
      </c>
      <c r="I295" s="1">
        <v>7443</v>
      </c>
      <c r="J295" s="1">
        <v>791</v>
      </c>
      <c r="K295" s="1">
        <v>68147</v>
      </c>
      <c r="L295" s="1">
        <v>142195</v>
      </c>
      <c r="M295" s="2">
        <v>0.1434519127115928</v>
      </c>
      <c r="N295" s="1">
        <v>3</v>
      </c>
      <c r="O295" s="1">
        <v>0</v>
      </c>
      <c r="P295" s="1">
        <v>1668</v>
      </c>
      <c r="Q295" s="1">
        <v>6904</v>
      </c>
      <c r="R295" s="1">
        <v>0</v>
      </c>
      <c r="S295" s="4">
        <v>21</v>
      </c>
      <c r="T295" s="1" t="s">
        <v>799</v>
      </c>
    </row>
    <row r="296" spans="1:20" x14ac:dyDescent="0.3">
      <c r="A296" s="3">
        <v>9345</v>
      </c>
      <c r="B296" s="1" t="s">
        <v>223</v>
      </c>
      <c r="C296" s="1" t="s">
        <v>488</v>
      </c>
      <c r="D296" s="1" t="s">
        <v>15</v>
      </c>
      <c r="E296" s="11">
        <v>45635</v>
      </c>
      <c r="F296" s="1">
        <v>468712</v>
      </c>
      <c r="G296" s="1">
        <v>141</v>
      </c>
      <c r="H296" s="1">
        <v>6268</v>
      </c>
      <c r="I296" s="1">
        <v>1169</v>
      </c>
      <c r="J296" s="1">
        <v>711</v>
      </c>
      <c r="K296" s="1">
        <v>10548</v>
      </c>
      <c r="L296" s="1">
        <v>25680</v>
      </c>
      <c r="M296" s="2">
        <v>1.7383809247469663E-2</v>
      </c>
      <c r="N296" s="1">
        <v>15</v>
      </c>
      <c r="O296" s="1">
        <v>0</v>
      </c>
      <c r="P296" s="1">
        <v>232</v>
      </c>
      <c r="Q296" s="1">
        <v>892</v>
      </c>
      <c r="R296" s="1">
        <v>0</v>
      </c>
      <c r="S296" s="4">
        <v>13</v>
      </c>
      <c r="T296" s="1" t="s">
        <v>782</v>
      </c>
    </row>
    <row r="297" spans="1:20" x14ac:dyDescent="0.3">
      <c r="A297" s="3">
        <v>6473</v>
      </c>
      <c r="B297" s="1" t="s">
        <v>362</v>
      </c>
      <c r="C297" s="1" t="s">
        <v>489</v>
      </c>
      <c r="D297" s="1" t="s">
        <v>38</v>
      </c>
      <c r="E297" s="11">
        <v>45453</v>
      </c>
      <c r="F297" s="1">
        <v>309826</v>
      </c>
      <c r="G297" s="1">
        <v>131</v>
      </c>
      <c r="H297" s="1">
        <v>5420</v>
      </c>
      <c r="I297" s="1">
        <v>334</v>
      </c>
      <c r="J297" s="1">
        <v>963</v>
      </c>
      <c r="K297" s="1">
        <v>20683</v>
      </c>
      <c r="L297" s="1">
        <v>12305</v>
      </c>
      <c r="M297" s="2">
        <v>2.1679910659531478E-2</v>
      </c>
      <c r="N297" s="1">
        <v>17</v>
      </c>
      <c r="O297" s="1">
        <v>31</v>
      </c>
      <c r="P297" s="1">
        <v>260</v>
      </c>
      <c r="Q297" s="1">
        <v>2732</v>
      </c>
      <c r="R297" s="1">
        <v>20</v>
      </c>
      <c r="S297" s="4">
        <v>14</v>
      </c>
      <c r="T297" s="1" t="s">
        <v>788</v>
      </c>
    </row>
    <row r="298" spans="1:20" x14ac:dyDescent="0.3">
      <c r="A298" s="3">
        <v>3936</v>
      </c>
      <c r="B298" s="1" t="s">
        <v>490</v>
      </c>
      <c r="C298" s="1" t="s">
        <v>491</v>
      </c>
      <c r="D298" s="1" t="s">
        <v>38</v>
      </c>
      <c r="E298" s="11">
        <v>45344</v>
      </c>
      <c r="F298" s="1">
        <v>322129</v>
      </c>
      <c r="G298" s="1">
        <v>1368</v>
      </c>
      <c r="H298" s="1">
        <v>10919</v>
      </c>
      <c r="I298" s="1">
        <v>393</v>
      </c>
      <c r="J298" s="1">
        <v>2250</v>
      </c>
      <c r="K298" s="1">
        <v>15377</v>
      </c>
      <c r="L298" s="1">
        <v>80131</v>
      </c>
      <c r="M298" s="2">
        <v>4.2101145814254538E-2</v>
      </c>
      <c r="N298" s="1">
        <v>5</v>
      </c>
      <c r="O298" s="1">
        <v>9</v>
      </c>
      <c r="P298" s="1">
        <v>453</v>
      </c>
      <c r="Q298" s="1">
        <v>850</v>
      </c>
      <c r="R298" s="1">
        <v>0</v>
      </c>
      <c r="S298" s="4">
        <v>19</v>
      </c>
      <c r="T298" s="1" t="s">
        <v>795</v>
      </c>
    </row>
    <row r="299" spans="1:20" x14ac:dyDescent="0.3">
      <c r="A299" s="3">
        <v>3758</v>
      </c>
      <c r="B299" s="1" t="s">
        <v>244</v>
      </c>
      <c r="C299" s="1" t="s">
        <v>492</v>
      </c>
      <c r="D299" s="1" t="s">
        <v>20</v>
      </c>
      <c r="E299" s="11">
        <v>45615</v>
      </c>
      <c r="F299" s="1">
        <v>33759</v>
      </c>
      <c r="G299" s="1">
        <v>1409</v>
      </c>
      <c r="H299" s="1">
        <v>1641</v>
      </c>
      <c r="I299" s="1">
        <v>234</v>
      </c>
      <c r="J299" s="1">
        <v>130</v>
      </c>
      <c r="K299" s="1">
        <v>6632</v>
      </c>
      <c r="L299" s="1">
        <v>5630</v>
      </c>
      <c r="M299" s="2">
        <v>5.9391569655499271E-2</v>
      </c>
      <c r="N299" s="1">
        <v>21</v>
      </c>
      <c r="O299" s="1">
        <v>0</v>
      </c>
      <c r="P299" s="1">
        <v>111</v>
      </c>
      <c r="Q299" s="1">
        <v>1151</v>
      </c>
      <c r="R299" s="1">
        <v>47</v>
      </c>
      <c r="S299" s="4">
        <v>10</v>
      </c>
      <c r="T299" s="1" t="s">
        <v>783</v>
      </c>
    </row>
    <row r="300" spans="1:20" x14ac:dyDescent="0.3">
      <c r="A300" s="3">
        <v>9045</v>
      </c>
      <c r="B300" s="1" t="s">
        <v>295</v>
      </c>
      <c r="C300" s="1" t="s">
        <v>493</v>
      </c>
      <c r="D300" s="1" t="s">
        <v>38</v>
      </c>
      <c r="E300" s="11">
        <v>45518</v>
      </c>
      <c r="F300" s="1">
        <v>254905</v>
      </c>
      <c r="G300" s="1">
        <v>805</v>
      </c>
      <c r="H300" s="1">
        <v>5164</v>
      </c>
      <c r="I300" s="1">
        <v>863</v>
      </c>
      <c r="J300" s="1">
        <v>477</v>
      </c>
      <c r="K300" s="1">
        <v>24173</v>
      </c>
      <c r="L300" s="1">
        <v>12630</v>
      </c>
      <c r="M300" s="2">
        <v>2.5515388085757439E-2</v>
      </c>
      <c r="N300" s="1">
        <v>9</v>
      </c>
      <c r="O300" s="1">
        <v>33</v>
      </c>
      <c r="P300" s="1">
        <v>447</v>
      </c>
      <c r="Q300" s="1">
        <v>3484</v>
      </c>
      <c r="R300" s="1">
        <v>0</v>
      </c>
      <c r="S300" s="4">
        <v>23</v>
      </c>
      <c r="T300" s="1" t="s">
        <v>786</v>
      </c>
    </row>
    <row r="301" spans="1:20" x14ac:dyDescent="0.3">
      <c r="A301" s="3">
        <v>5216</v>
      </c>
      <c r="B301" s="1" t="s">
        <v>178</v>
      </c>
      <c r="C301" s="1" t="s">
        <v>494</v>
      </c>
      <c r="D301" s="1" t="s">
        <v>38</v>
      </c>
      <c r="E301" s="11">
        <v>45519</v>
      </c>
      <c r="F301" s="1">
        <v>289366</v>
      </c>
      <c r="G301" s="1">
        <v>721</v>
      </c>
      <c r="H301" s="1">
        <v>24833</v>
      </c>
      <c r="I301" s="1">
        <v>3461</v>
      </c>
      <c r="J301" s="1">
        <v>5437</v>
      </c>
      <c r="K301" s="1">
        <v>104388</v>
      </c>
      <c r="L301" s="1">
        <v>90879</v>
      </c>
      <c r="M301" s="2">
        <v>0.11656863625996143</v>
      </c>
      <c r="N301" s="1">
        <v>25</v>
      </c>
      <c r="O301" s="1">
        <v>32</v>
      </c>
      <c r="P301" s="1">
        <v>1935</v>
      </c>
      <c r="Q301" s="1">
        <v>19815</v>
      </c>
      <c r="R301" s="1">
        <v>1534</v>
      </c>
      <c r="S301" s="4">
        <v>11</v>
      </c>
      <c r="T301" s="1" t="s">
        <v>785</v>
      </c>
    </row>
    <row r="302" spans="1:20" x14ac:dyDescent="0.3">
      <c r="A302" s="3">
        <v>6117</v>
      </c>
      <c r="B302" s="1" t="s">
        <v>495</v>
      </c>
      <c r="C302" s="1" t="s">
        <v>496</v>
      </c>
      <c r="D302" s="1" t="s">
        <v>38</v>
      </c>
      <c r="E302" s="11">
        <v>45384</v>
      </c>
      <c r="F302" s="1">
        <v>105478</v>
      </c>
      <c r="G302" s="1">
        <v>1609</v>
      </c>
      <c r="H302" s="1">
        <v>11036</v>
      </c>
      <c r="I302" s="1">
        <v>1941</v>
      </c>
      <c r="J302" s="1">
        <v>702</v>
      </c>
      <c r="K302" s="1">
        <v>11715</v>
      </c>
      <c r="L302" s="1">
        <v>41743</v>
      </c>
      <c r="M302" s="2">
        <v>0.12968581125921994</v>
      </c>
      <c r="N302" s="1">
        <v>18</v>
      </c>
      <c r="O302" s="1">
        <v>25</v>
      </c>
      <c r="P302" s="1">
        <v>991</v>
      </c>
      <c r="Q302" s="1">
        <v>655</v>
      </c>
      <c r="R302" s="1">
        <v>39</v>
      </c>
      <c r="S302" s="4">
        <v>10</v>
      </c>
      <c r="T302" s="1" t="s">
        <v>783</v>
      </c>
    </row>
    <row r="303" spans="1:20" x14ac:dyDescent="0.3">
      <c r="A303" s="3">
        <v>9136</v>
      </c>
      <c r="B303" s="1" t="s">
        <v>431</v>
      </c>
      <c r="C303" s="1" t="s">
        <v>497</v>
      </c>
      <c r="D303" s="1" t="s">
        <v>15</v>
      </c>
      <c r="E303" s="11">
        <v>45385</v>
      </c>
      <c r="F303" s="1">
        <v>39629</v>
      </c>
      <c r="G303" s="1">
        <v>1745</v>
      </c>
      <c r="H303" s="1">
        <v>1528</v>
      </c>
      <c r="I303" s="1">
        <v>250</v>
      </c>
      <c r="J303" s="1">
        <v>34</v>
      </c>
      <c r="K303" s="1">
        <v>4646</v>
      </c>
      <c r="L303" s="1">
        <v>4730</v>
      </c>
      <c r="M303" s="2">
        <v>4.5724090943500974E-2</v>
      </c>
      <c r="N303" s="1">
        <v>4</v>
      </c>
      <c r="O303" s="1">
        <v>0</v>
      </c>
      <c r="P303" s="1">
        <v>145</v>
      </c>
      <c r="Q303" s="1">
        <v>350</v>
      </c>
      <c r="R303" s="1">
        <v>18</v>
      </c>
      <c r="S303" s="4">
        <v>17</v>
      </c>
      <c r="T303" s="1" t="s">
        <v>791</v>
      </c>
    </row>
    <row r="304" spans="1:20" x14ac:dyDescent="0.3">
      <c r="A304" s="3">
        <v>1745</v>
      </c>
      <c r="B304" s="1" t="s">
        <v>314</v>
      </c>
      <c r="C304" s="1" t="s">
        <v>498</v>
      </c>
      <c r="D304" s="1" t="s">
        <v>38</v>
      </c>
      <c r="E304" s="11">
        <v>45578</v>
      </c>
      <c r="F304" s="1">
        <v>269715</v>
      </c>
      <c r="G304" s="1">
        <v>903</v>
      </c>
      <c r="H304" s="1">
        <v>29400</v>
      </c>
      <c r="I304" s="1">
        <v>1884</v>
      </c>
      <c r="J304" s="1">
        <v>8369</v>
      </c>
      <c r="K304" s="1">
        <v>69569</v>
      </c>
      <c r="L304" s="1">
        <v>137240</v>
      </c>
      <c r="M304" s="2">
        <v>0.14701814878668223</v>
      </c>
      <c r="N304" s="1">
        <v>25</v>
      </c>
      <c r="O304" s="1">
        <v>40</v>
      </c>
      <c r="P304" s="1">
        <v>2907</v>
      </c>
      <c r="Q304" s="1">
        <v>6112</v>
      </c>
      <c r="R304" s="1">
        <v>0</v>
      </c>
      <c r="S304" s="4">
        <v>19</v>
      </c>
      <c r="T304" s="1" t="s">
        <v>795</v>
      </c>
    </row>
    <row r="305" spans="1:20" x14ac:dyDescent="0.3">
      <c r="A305" s="3">
        <v>9980</v>
      </c>
      <c r="B305" s="1" t="s">
        <v>100</v>
      </c>
      <c r="C305" s="1" t="s">
        <v>499</v>
      </c>
      <c r="D305" s="1" t="s">
        <v>15</v>
      </c>
      <c r="E305" s="11">
        <v>45608</v>
      </c>
      <c r="F305" s="1">
        <v>83992</v>
      </c>
      <c r="G305" s="1">
        <v>1195</v>
      </c>
      <c r="H305" s="1">
        <v>10492</v>
      </c>
      <c r="I305" s="1">
        <v>1288</v>
      </c>
      <c r="J305" s="1">
        <v>836</v>
      </c>
      <c r="K305" s="1">
        <v>25329</v>
      </c>
      <c r="L305" s="1">
        <v>22985</v>
      </c>
      <c r="M305" s="2">
        <v>0.15020478140775312</v>
      </c>
      <c r="N305" s="1">
        <v>24</v>
      </c>
      <c r="O305" s="1">
        <v>0</v>
      </c>
      <c r="P305" s="1">
        <v>456</v>
      </c>
      <c r="Q305" s="1">
        <v>3216</v>
      </c>
      <c r="R305" s="1">
        <v>0</v>
      </c>
      <c r="S305" s="4">
        <v>16</v>
      </c>
      <c r="T305" s="1" t="s">
        <v>790</v>
      </c>
    </row>
    <row r="306" spans="1:20" x14ac:dyDescent="0.3">
      <c r="A306" s="3">
        <v>2449</v>
      </c>
      <c r="B306" s="1" t="s">
        <v>13</v>
      </c>
      <c r="C306" s="1" t="s">
        <v>500</v>
      </c>
      <c r="D306" s="1" t="s">
        <v>20</v>
      </c>
      <c r="E306" s="11">
        <v>45468</v>
      </c>
      <c r="F306" s="1">
        <v>413523</v>
      </c>
      <c r="G306" s="1">
        <v>262</v>
      </c>
      <c r="H306" s="1">
        <v>27520</v>
      </c>
      <c r="I306" s="1">
        <v>2550</v>
      </c>
      <c r="J306" s="1">
        <v>7081</v>
      </c>
      <c r="K306" s="1">
        <v>80803</v>
      </c>
      <c r="L306" s="1">
        <v>143586</v>
      </c>
      <c r="M306" s="2">
        <v>8.9840226541208101E-2</v>
      </c>
      <c r="N306" s="1">
        <v>9</v>
      </c>
      <c r="O306" s="1">
        <v>0</v>
      </c>
      <c r="P306" s="1">
        <v>2715</v>
      </c>
      <c r="Q306" s="1">
        <v>5693</v>
      </c>
      <c r="R306" s="1">
        <v>505</v>
      </c>
      <c r="S306" s="4">
        <v>22</v>
      </c>
      <c r="T306" s="1" t="s">
        <v>784</v>
      </c>
    </row>
    <row r="307" spans="1:20" x14ac:dyDescent="0.3">
      <c r="A307" s="3">
        <v>5312</v>
      </c>
      <c r="B307" s="1" t="s">
        <v>201</v>
      </c>
      <c r="C307" s="1" t="s">
        <v>501</v>
      </c>
      <c r="D307" s="1" t="s">
        <v>15</v>
      </c>
      <c r="E307" s="11">
        <v>45343</v>
      </c>
      <c r="F307" s="1">
        <v>411990</v>
      </c>
      <c r="G307" s="1">
        <v>888</v>
      </c>
      <c r="H307" s="1">
        <v>28969</v>
      </c>
      <c r="I307" s="1">
        <v>1875</v>
      </c>
      <c r="J307" s="1">
        <v>6243</v>
      </c>
      <c r="K307" s="1">
        <v>127446</v>
      </c>
      <c r="L307" s="1">
        <v>227614</v>
      </c>
      <c r="M307" s="2">
        <v>9.0019175222699574E-2</v>
      </c>
      <c r="N307" s="1">
        <v>18</v>
      </c>
      <c r="O307" s="1">
        <v>0</v>
      </c>
      <c r="P307" s="1">
        <v>866</v>
      </c>
      <c r="Q307" s="1">
        <v>14946</v>
      </c>
      <c r="R307" s="1">
        <v>926</v>
      </c>
      <c r="S307" s="4">
        <v>19</v>
      </c>
      <c r="T307" s="1" t="s">
        <v>795</v>
      </c>
    </row>
    <row r="308" spans="1:20" x14ac:dyDescent="0.3">
      <c r="A308" s="3">
        <v>3230</v>
      </c>
      <c r="B308" s="1" t="s">
        <v>213</v>
      </c>
      <c r="C308" s="1" t="s">
        <v>502</v>
      </c>
      <c r="D308" s="1" t="s">
        <v>20</v>
      </c>
      <c r="E308" s="11">
        <v>45411</v>
      </c>
      <c r="F308" s="1">
        <v>7990</v>
      </c>
      <c r="G308" s="1">
        <v>1002</v>
      </c>
      <c r="H308" s="1">
        <v>262</v>
      </c>
      <c r="I308" s="1">
        <v>10</v>
      </c>
      <c r="J308" s="1">
        <v>44</v>
      </c>
      <c r="K308" s="1">
        <v>650</v>
      </c>
      <c r="L308" s="1">
        <v>1477</v>
      </c>
      <c r="M308" s="2">
        <v>3.9549436795994992E-2</v>
      </c>
      <c r="N308" s="1">
        <v>16</v>
      </c>
      <c r="O308" s="1">
        <v>0</v>
      </c>
      <c r="P308" s="1">
        <v>14</v>
      </c>
      <c r="Q308" s="1">
        <v>68</v>
      </c>
      <c r="R308" s="1">
        <v>1</v>
      </c>
      <c r="S308" s="4">
        <v>7</v>
      </c>
      <c r="T308" s="1" t="s">
        <v>794</v>
      </c>
    </row>
    <row r="309" spans="1:20" x14ac:dyDescent="0.3">
      <c r="A309" s="3">
        <v>1254</v>
      </c>
      <c r="B309" s="1" t="s">
        <v>250</v>
      </c>
      <c r="C309" s="1" t="s">
        <v>503</v>
      </c>
      <c r="D309" s="1" t="s">
        <v>15</v>
      </c>
      <c r="E309" s="11">
        <v>45595</v>
      </c>
      <c r="F309" s="1">
        <v>81780</v>
      </c>
      <c r="G309" s="1">
        <v>1416</v>
      </c>
      <c r="H309" s="1">
        <v>8323</v>
      </c>
      <c r="I309" s="1">
        <v>1433</v>
      </c>
      <c r="J309" s="1">
        <v>1915</v>
      </c>
      <c r="K309" s="1">
        <v>17647</v>
      </c>
      <c r="L309" s="1">
        <v>38401</v>
      </c>
      <c r="M309" s="2">
        <v>0.14271215456101735</v>
      </c>
      <c r="N309" s="1">
        <v>7</v>
      </c>
      <c r="O309" s="1">
        <v>0</v>
      </c>
      <c r="P309" s="1">
        <v>810</v>
      </c>
      <c r="Q309" s="1">
        <v>3182</v>
      </c>
      <c r="R309" s="1">
        <v>280</v>
      </c>
      <c r="S309" s="4">
        <v>6</v>
      </c>
      <c r="T309" s="1" t="s">
        <v>792</v>
      </c>
    </row>
    <row r="310" spans="1:20" x14ac:dyDescent="0.3">
      <c r="A310" s="3">
        <v>1622</v>
      </c>
      <c r="B310" s="1" t="s">
        <v>504</v>
      </c>
      <c r="C310" s="1" t="s">
        <v>505</v>
      </c>
      <c r="D310" s="1" t="s">
        <v>20</v>
      </c>
      <c r="E310" s="11">
        <v>45540</v>
      </c>
      <c r="F310" s="1">
        <v>149324</v>
      </c>
      <c r="G310" s="1">
        <v>527</v>
      </c>
      <c r="H310" s="1">
        <v>20749</v>
      </c>
      <c r="I310" s="1">
        <v>953</v>
      </c>
      <c r="J310" s="1">
        <v>4160</v>
      </c>
      <c r="K310" s="1">
        <v>98395</v>
      </c>
      <c r="L310" s="1">
        <v>108064</v>
      </c>
      <c r="M310" s="2">
        <v>0.17319386033055637</v>
      </c>
      <c r="N310" s="1">
        <v>13</v>
      </c>
      <c r="O310" s="1">
        <v>0</v>
      </c>
      <c r="P310" s="1">
        <v>762</v>
      </c>
      <c r="Q310" s="1">
        <v>19310</v>
      </c>
      <c r="R310" s="1">
        <v>0</v>
      </c>
      <c r="S310" s="4">
        <v>7</v>
      </c>
      <c r="T310" s="1" t="s">
        <v>794</v>
      </c>
    </row>
    <row r="311" spans="1:20" x14ac:dyDescent="0.3">
      <c r="A311" s="3">
        <v>4908</v>
      </c>
      <c r="B311" s="1" t="s">
        <v>213</v>
      </c>
      <c r="C311" s="1" t="s">
        <v>506</v>
      </c>
      <c r="D311" s="1" t="s">
        <v>15</v>
      </c>
      <c r="E311" s="11">
        <v>45572</v>
      </c>
      <c r="F311" s="1">
        <v>35248</v>
      </c>
      <c r="G311" s="1">
        <v>1782</v>
      </c>
      <c r="H311" s="1">
        <v>4752</v>
      </c>
      <c r="I311" s="1">
        <v>99</v>
      </c>
      <c r="J311" s="1">
        <v>705</v>
      </c>
      <c r="K311" s="1">
        <v>7484</v>
      </c>
      <c r="L311" s="1">
        <v>33793</v>
      </c>
      <c r="M311" s="2">
        <v>0.15762596459373582</v>
      </c>
      <c r="N311" s="1">
        <v>17</v>
      </c>
      <c r="O311" s="1">
        <v>0</v>
      </c>
      <c r="P311" s="1">
        <v>249</v>
      </c>
      <c r="Q311" s="1">
        <v>529</v>
      </c>
      <c r="R311" s="1">
        <v>47</v>
      </c>
      <c r="S311" s="4">
        <v>10</v>
      </c>
      <c r="T311" s="1" t="s">
        <v>783</v>
      </c>
    </row>
    <row r="312" spans="1:20" x14ac:dyDescent="0.3">
      <c r="A312" s="3">
        <v>9423</v>
      </c>
      <c r="B312" s="1" t="s">
        <v>329</v>
      </c>
      <c r="C312" s="1" t="s">
        <v>507</v>
      </c>
      <c r="D312" s="1" t="s">
        <v>20</v>
      </c>
      <c r="E312" s="11">
        <v>45613</v>
      </c>
      <c r="F312" s="1">
        <v>448949</v>
      </c>
      <c r="G312" s="1">
        <v>1187</v>
      </c>
      <c r="H312" s="1">
        <v>12224</v>
      </c>
      <c r="I312" s="1">
        <v>419</v>
      </c>
      <c r="J312" s="1">
        <v>1511</v>
      </c>
      <c r="K312" s="1">
        <v>50517</v>
      </c>
      <c r="L312" s="1">
        <v>74450</v>
      </c>
      <c r="M312" s="2">
        <v>3.1526966314659351E-2</v>
      </c>
      <c r="N312" s="1">
        <v>20</v>
      </c>
      <c r="O312" s="1">
        <v>0</v>
      </c>
      <c r="P312" s="1">
        <v>631</v>
      </c>
      <c r="Q312" s="1">
        <v>3786</v>
      </c>
      <c r="R312" s="1">
        <v>178</v>
      </c>
      <c r="S312" s="4">
        <v>9</v>
      </c>
      <c r="T312" s="1" t="s">
        <v>798</v>
      </c>
    </row>
    <row r="313" spans="1:20" x14ac:dyDescent="0.3">
      <c r="A313" s="3">
        <v>8332</v>
      </c>
      <c r="B313" s="1" t="s">
        <v>63</v>
      </c>
      <c r="C313" s="1" t="s">
        <v>508</v>
      </c>
      <c r="D313" s="1" t="s">
        <v>38</v>
      </c>
      <c r="E313" s="11">
        <v>45455</v>
      </c>
      <c r="F313" s="1">
        <v>269209</v>
      </c>
      <c r="G313" s="1">
        <v>857</v>
      </c>
      <c r="H313" s="1">
        <v>27115</v>
      </c>
      <c r="I313" s="1">
        <v>2821</v>
      </c>
      <c r="J313" s="1">
        <v>3579</v>
      </c>
      <c r="K313" s="1">
        <v>120774</v>
      </c>
      <c r="L313" s="1">
        <v>153364</v>
      </c>
      <c r="M313" s="2">
        <v>0.12449435197188802</v>
      </c>
      <c r="N313" s="1">
        <v>8</v>
      </c>
      <c r="O313" s="1">
        <v>18</v>
      </c>
      <c r="P313" s="1">
        <v>2423</v>
      </c>
      <c r="Q313" s="1">
        <v>21416</v>
      </c>
      <c r="R313" s="1">
        <v>1743</v>
      </c>
      <c r="S313" s="4">
        <v>20</v>
      </c>
      <c r="T313" s="1" t="s">
        <v>797</v>
      </c>
    </row>
    <row r="314" spans="1:20" x14ac:dyDescent="0.3">
      <c r="A314" s="3">
        <v>1579</v>
      </c>
      <c r="B314" s="1" t="s">
        <v>472</v>
      </c>
      <c r="C314" s="1" t="s">
        <v>509</v>
      </c>
      <c r="D314" s="1" t="s">
        <v>20</v>
      </c>
      <c r="E314" s="11">
        <v>45585</v>
      </c>
      <c r="F314" s="1">
        <v>36144</v>
      </c>
      <c r="G314" s="1">
        <v>268</v>
      </c>
      <c r="H314" s="1">
        <v>581</v>
      </c>
      <c r="I314" s="1">
        <v>87</v>
      </c>
      <c r="J314" s="1">
        <v>142</v>
      </c>
      <c r="K314" s="1">
        <v>1962</v>
      </c>
      <c r="L314" s="1">
        <v>1650</v>
      </c>
      <c r="M314" s="2">
        <v>2.2410358565737053E-2</v>
      </c>
      <c r="N314" s="1">
        <v>5</v>
      </c>
      <c r="O314" s="1">
        <v>0</v>
      </c>
      <c r="P314" s="1">
        <v>46</v>
      </c>
      <c r="Q314" s="1">
        <v>378</v>
      </c>
      <c r="R314" s="1">
        <v>0</v>
      </c>
      <c r="S314" s="4">
        <v>16</v>
      </c>
      <c r="T314" s="1" t="s">
        <v>790</v>
      </c>
    </row>
    <row r="315" spans="1:20" x14ac:dyDescent="0.3">
      <c r="A315" s="3">
        <v>9696</v>
      </c>
      <c r="B315" s="1" t="s">
        <v>510</v>
      </c>
      <c r="C315" s="1" t="s">
        <v>511</v>
      </c>
      <c r="D315" s="1" t="s">
        <v>20</v>
      </c>
      <c r="E315" s="11">
        <v>45371</v>
      </c>
      <c r="F315" s="1">
        <v>6019</v>
      </c>
      <c r="G315" s="1">
        <v>1130</v>
      </c>
      <c r="H315" s="1">
        <v>364</v>
      </c>
      <c r="I315" s="1">
        <v>39</v>
      </c>
      <c r="J315" s="1">
        <v>47</v>
      </c>
      <c r="K315" s="1">
        <v>710</v>
      </c>
      <c r="L315" s="1">
        <v>1298</v>
      </c>
      <c r="M315" s="2">
        <v>7.4763249709254034E-2</v>
      </c>
      <c r="N315" s="1">
        <v>25</v>
      </c>
      <c r="O315" s="1">
        <v>0</v>
      </c>
      <c r="P315" s="1">
        <v>20</v>
      </c>
      <c r="Q315" s="1">
        <v>41</v>
      </c>
      <c r="R315" s="1">
        <v>0</v>
      </c>
      <c r="S315" s="4">
        <v>17</v>
      </c>
      <c r="T315" s="1" t="s">
        <v>791</v>
      </c>
    </row>
    <row r="316" spans="1:20" x14ac:dyDescent="0.3">
      <c r="A316" s="3">
        <v>8831</v>
      </c>
      <c r="B316" s="1" t="s">
        <v>512</v>
      </c>
      <c r="C316" s="1" t="s">
        <v>513</v>
      </c>
      <c r="D316" s="1" t="s">
        <v>15</v>
      </c>
      <c r="E316" s="11">
        <v>45622</v>
      </c>
      <c r="F316" s="1">
        <v>484527</v>
      </c>
      <c r="G316" s="1">
        <v>476</v>
      </c>
      <c r="H316" s="1">
        <v>57402</v>
      </c>
      <c r="I316" s="1">
        <v>4226</v>
      </c>
      <c r="J316" s="1">
        <v>842</v>
      </c>
      <c r="K316" s="1">
        <v>113507</v>
      </c>
      <c r="L316" s="1">
        <v>296068</v>
      </c>
      <c r="M316" s="2">
        <v>0.12892986355765521</v>
      </c>
      <c r="N316" s="1">
        <v>22</v>
      </c>
      <c r="O316" s="1">
        <v>0</v>
      </c>
      <c r="P316" s="1">
        <v>1395</v>
      </c>
      <c r="Q316" s="1">
        <v>6749</v>
      </c>
      <c r="R316" s="1">
        <v>0</v>
      </c>
      <c r="S316" s="4">
        <v>13</v>
      </c>
      <c r="T316" s="1" t="s">
        <v>782</v>
      </c>
    </row>
    <row r="317" spans="1:20" x14ac:dyDescent="0.3">
      <c r="A317" s="3">
        <v>7917</v>
      </c>
      <c r="B317" s="1" t="s">
        <v>265</v>
      </c>
      <c r="C317" s="1" t="s">
        <v>514</v>
      </c>
      <c r="D317" s="1" t="s">
        <v>38</v>
      </c>
      <c r="E317" s="11">
        <v>45610</v>
      </c>
      <c r="F317" s="1">
        <v>223736</v>
      </c>
      <c r="G317" s="1">
        <v>605</v>
      </c>
      <c r="H317" s="1">
        <v>20073</v>
      </c>
      <c r="I317" s="1">
        <v>3835</v>
      </c>
      <c r="J317" s="1">
        <v>287</v>
      </c>
      <c r="K317" s="1">
        <v>74698</v>
      </c>
      <c r="L317" s="1">
        <v>143963</v>
      </c>
      <c r="M317" s="2">
        <v>0.10814084456681089</v>
      </c>
      <c r="N317" s="1">
        <v>17</v>
      </c>
      <c r="O317" s="1">
        <v>26</v>
      </c>
      <c r="P317" s="1">
        <v>772</v>
      </c>
      <c r="Q317" s="1">
        <v>8310</v>
      </c>
      <c r="R317" s="1">
        <v>819</v>
      </c>
      <c r="S317" s="4">
        <v>16</v>
      </c>
      <c r="T317" s="1" t="s">
        <v>790</v>
      </c>
    </row>
    <row r="318" spans="1:20" x14ac:dyDescent="0.3">
      <c r="A318" s="3">
        <v>8977</v>
      </c>
      <c r="B318" s="1" t="s">
        <v>510</v>
      </c>
      <c r="C318" s="1" t="s">
        <v>515</v>
      </c>
      <c r="D318" s="1" t="s">
        <v>38</v>
      </c>
      <c r="E318" s="11">
        <v>45346</v>
      </c>
      <c r="F318" s="1">
        <v>338905</v>
      </c>
      <c r="G318" s="1">
        <v>1819</v>
      </c>
      <c r="H318" s="1">
        <v>41268</v>
      </c>
      <c r="I318" s="1">
        <v>4336</v>
      </c>
      <c r="J318" s="1">
        <v>4024</v>
      </c>
      <c r="K318" s="1">
        <v>167115</v>
      </c>
      <c r="L318" s="1">
        <v>232525</v>
      </c>
      <c r="M318" s="2">
        <v>0.14643631696198051</v>
      </c>
      <c r="N318" s="1">
        <v>6</v>
      </c>
      <c r="O318" s="1">
        <v>20</v>
      </c>
      <c r="P318" s="1">
        <v>1569</v>
      </c>
      <c r="Q318" s="1">
        <v>31661</v>
      </c>
      <c r="R318" s="1">
        <v>0</v>
      </c>
      <c r="S318" s="4">
        <v>7</v>
      </c>
      <c r="T318" s="1" t="s">
        <v>794</v>
      </c>
    </row>
    <row r="319" spans="1:20" x14ac:dyDescent="0.3">
      <c r="A319" s="3">
        <v>8965</v>
      </c>
      <c r="B319" s="1" t="s">
        <v>174</v>
      </c>
      <c r="C319" s="1" t="s">
        <v>516</v>
      </c>
      <c r="D319" s="1" t="s">
        <v>15</v>
      </c>
      <c r="E319" s="11">
        <v>45384</v>
      </c>
      <c r="F319" s="1">
        <v>457442</v>
      </c>
      <c r="G319" s="1">
        <v>1584</v>
      </c>
      <c r="H319" s="1">
        <v>12254</v>
      </c>
      <c r="I319" s="1">
        <v>934</v>
      </c>
      <c r="J319" s="1">
        <v>3137</v>
      </c>
      <c r="K319" s="1">
        <v>37824</v>
      </c>
      <c r="L319" s="1">
        <v>79612</v>
      </c>
      <c r="M319" s="2">
        <v>3.5687584436934081E-2</v>
      </c>
      <c r="N319" s="1">
        <v>4</v>
      </c>
      <c r="O319" s="1">
        <v>0</v>
      </c>
      <c r="P319" s="1">
        <v>657</v>
      </c>
      <c r="Q319" s="1">
        <v>2473</v>
      </c>
      <c r="R319" s="1">
        <v>182</v>
      </c>
      <c r="S319" s="4">
        <v>16</v>
      </c>
      <c r="T319" s="1" t="s">
        <v>790</v>
      </c>
    </row>
    <row r="320" spans="1:20" x14ac:dyDescent="0.3">
      <c r="A320" s="3">
        <v>3369</v>
      </c>
      <c r="B320" s="1" t="s">
        <v>260</v>
      </c>
      <c r="C320" s="1" t="s">
        <v>517</v>
      </c>
      <c r="D320" s="1" t="s">
        <v>15</v>
      </c>
      <c r="E320" s="11">
        <v>45295</v>
      </c>
      <c r="F320" s="1">
        <v>464755</v>
      </c>
      <c r="G320" s="1">
        <v>198</v>
      </c>
      <c r="H320" s="1">
        <v>62296</v>
      </c>
      <c r="I320" s="1">
        <v>3594</v>
      </c>
      <c r="J320" s="1">
        <v>15555</v>
      </c>
      <c r="K320" s="1">
        <v>267692</v>
      </c>
      <c r="L320" s="1">
        <v>238489</v>
      </c>
      <c r="M320" s="2">
        <v>0.17524286989919419</v>
      </c>
      <c r="N320" s="1">
        <v>9</v>
      </c>
      <c r="O320" s="1">
        <v>0</v>
      </c>
      <c r="P320" s="1">
        <v>2111</v>
      </c>
      <c r="Q320" s="1">
        <v>39634</v>
      </c>
      <c r="R320" s="1">
        <v>0</v>
      </c>
      <c r="S320" s="4">
        <v>14</v>
      </c>
      <c r="T320" s="1" t="s">
        <v>788</v>
      </c>
    </row>
    <row r="321" spans="1:20" x14ac:dyDescent="0.3">
      <c r="A321" s="3">
        <v>9720</v>
      </c>
      <c r="B321" s="1" t="s">
        <v>297</v>
      </c>
      <c r="C321" s="1" t="s">
        <v>518</v>
      </c>
      <c r="D321" s="1" t="s">
        <v>20</v>
      </c>
      <c r="E321" s="11">
        <v>45405</v>
      </c>
      <c r="F321" s="1">
        <v>32819</v>
      </c>
      <c r="G321" s="1">
        <v>150</v>
      </c>
      <c r="H321" s="1">
        <v>3934</v>
      </c>
      <c r="I321" s="1">
        <v>184</v>
      </c>
      <c r="J321" s="1">
        <v>1131</v>
      </c>
      <c r="K321" s="1">
        <v>8775</v>
      </c>
      <c r="L321" s="1">
        <v>24363</v>
      </c>
      <c r="M321" s="2">
        <v>0.1599378408848533</v>
      </c>
      <c r="N321" s="1">
        <v>24</v>
      </c>
      <c r="O321" s="1">
        <v>0</v>
      </c>
      <c r="P321" s="1">
        <v>370</v>
      </c>
      <c r="Q321" s="1">
        <v>1004</v>
      </c>
      <c r="R321" s="1">
        <v>82</v>
      </c>
      <c r="S321" s="4">
        <v>9</v>
      </c>
      <c r="T321" s="1" t="s">
        <v>798</v>
      </c>
    </row>
    <row r="322" spans="1:20" x14ac:dyDescent="0.3">
      <c r="A322" s="3">
        <v>5695</v>
      </c>
      <c r="B322" s="1" t="s">
        <v>519</v>
      </c>
      <c r="C322" s="1" t="s">
        <v>520</v>
      </c>
      <c r="D322" s="1" t="s">
        <v>15</v>
      </c>
      <c r="E322" s="11">
        <v>45365</v>
      </c>
      <c r="F322" s="1">
        <v>222757</v>
      </c>
      <c r="G322" s="1">
        <v>382</v>
      </c>
      <c r="H322" s="1">
        <v>19973</v>
      </c>
      <c r="I322" s="1">
        <v>659</v>
      </c>
      <c r="J322" s="1">
        <v>5818</v>
      </c>
      <c r="K322" s="1">
        <v>81299</v>
      </c>
      <c r="L322" s="1">
        <v>85523</v>
      </c>
      <c r="M322" s="2">
        <v>0.11873925398528441</v>
      </c>
      <c r="N322" s="1">
        <v>16</v>
      </c>
      <c r="O322" s="1">
        <v>0</v>
      </c>
      <c r="P322" s="1">
        <v>794</v>
      </c>
      <c r="Q322" s="1">
        <v>13318</v>
      </c>
      <c r="R322" s="1">
        <v>0</v>
      </c>
      <c r="S322" s="4">
        <v>20</v>
      </c>
      <c r="T322" s="1" t="s">
        <v>797</v>
      </c>
    </row>
    <row r="323" spans="1:20" x14ac:dyDescent="0.3">
      <c r="A323" s="3">
        <v>2336</v>
      </c>
      <c r="B323" s="1" t="s">
        <v>470</v>
      </c>
      <c r="C323" s="1" t="s">
        <v>521</v>
      </c>
      <c r="D323" s="1" t="s">
        <v>20</v>
      </c>
      <c r="E323" s="11">
        <v>45620</v>
      </c>
      <c r="F323" s="1">
        <v>488531</v>
      </c>
      <c r="G323" s="1">
        <v>1346</v>
      </c>
      <c r="H323" s="1">
        <v>67207</v>
      </c>
      <c r="I323" s="1">
        <v>8883</v>
      </c>
      <c r="J323" s="1">
        <v>18943</v>
      </c>
      <c r="K323" s="1">
        <v>307510</v>
      </c>
      <c r="L323" s="1">
        <v>401299</v>
      </c>
      <c r="M323" s="2">
        <v>0.19452808521874762</v>
      </c>
      <c r="N323" s="1">
        <v>18</v>
      </c>
      <c r="O323" s="1">
        <v>0</v>
      </c>
      <c r="P323" s="1">
        <v>1771</v>
      </c>
      <c r="Q323" s="1">
        <v>19043</v>
      </c>
      <c r="R323" s="1">
        <v>0</v>
      </c>
      <c r="S323" s="4">
        <v>15</v>
      </c>
      <c r="T323" s="1" t="s">
        <v>789</v>
      </c>
    </row>
    <row r="324" spans="1:20" x14ac:dyDescent="0.3">
      <c r="A324" s="3">
        <v>5467</v>
      </c>
      <c r="B324" s="1" t="s">
        <v>522</v>
      </c>
      <c r="C324" s="1" t="s">
        <v>523</v>
      </c>
      <c r="D324" s="1" t="s">
        <v>15</v>
      </c>
      <c r="E324" s="11">
        <v>45458</v>
      </c>
      <c r="F324" s="1">
        <v>128881</v>
      </c>
      <c r="G324" s="1">
        <v>362</v>
      </c>
      <c r="H324" s="1">
        <v>14328</v>
      </c>
      <c r="I324" s="1">
        <v>1965</v>
      </c>
      <c r="J324" s="1">
        <v>2092</v>
      </c>
      <c r="K324" s="1">
        <v>23476</v>
      </c>
      <c r="L324" s="1">
        <v>39085</v>
      </c>
      <c r="M324" s="2">
        <v>0.14265097260263343</v>
      </c>
      <c r="N324" s="1">
        <v>3</v>
      </c>
      <c r="O324" s="1">
        <v>0</v>
      </c>
      <c r="P324" s="1">
        <v>1413</v>
      </c>
      <c r="Q324" s="1">
        <v>1303</v>
      </c>
      <c r="R324" s="1">
        <v>0</v>
      </c>
      <c r="S324" s="4">
        <v>15</v>
      </c>
      <c r="T324" s="1" t="s">
        <v>789</v>
      </c>
    </row>
    <row r="325" spans="1:20" x14ac:dyDescent="0.3">
      <c r="A325" s="3">
        <v>2052</v>
      </c>
      <c r="B325" s="1" t="s">
        <v>172</v>
      </c>
      <c r="C325" s="1" t="s">
        <v>524</v>
      </c>
      <c r="D325" s="1" t="s">
        <v>38</v>
      </c>
      <c r="E325" s="11">
        <v>45338</v>
      </c>
      <c r="F325" s="1">
        <v>172783</v>
      </c>
      <c r="G325" s="1">
        <v>1184</v>
      </c>
      <c r="H325" s="1">
        <v>21951</v>
      </c>
      <c r="I325" s="1">
        <v>1833</v>
      </c>
      <c r="J325" s="1">
        <v>2187</v>
      </c>
      <c r="K325" s="1">
        <v>82237</v>
      </c>
      <c r="L325" s="1">
        <v>89099</v>
      </c>
      <c r="M325" s="2">
        <v>0.15030992632377027</v>
      </c>
      <c r="N325" s="1">
        <v>14</v>
      </c>
      <c r="O325" s="1">
        <v>37</v>
      </c>
      <c r="P325" s="1">
        <v>558</v>
      </c>
      <c r="Q325" s="1">
        <v>13967</v>
      </c>
      <c r="R325" s="1">
        <v>1017</v>
      </c>
      <c r="S325" s="4">
        <v>15</v>
      </c>
      <c r="T325" s="1" t="s">
        <v>789</v>
      </c>
    </row>
    <row r="326" spans="1:20" x14ac:dyDescent="0.3">
      <c r="A326" s="3">
        <v>7824</v>
      </c>
      <c r="B326" s="1" t="s">
        <v>525</v>
      </c>
      <c r="C326" s="1" t="s">
        <v>526</v>
      </c>
      <c r="D326" s="1" t="s">
        <v>38</v>
      </c>
      <c r="E326" s="11">
        <v>45329</v>
      </c>
      <c r="F326" s="1">
        <v>142923</v>
      </c>
      <c r="G326" s="1">
        <v>564</v>
      </c>
      <c r="H326" s="1">
        <v>15274</v>
      </c>
      <c r="I326" s="1">
        <v>2732</v>
      </c>
      <c r="J326" s="1">
        <v>4435</v>
      </c>
      <c r="K326" s="1">
        <v>47769</v>
      </c>
      <c r="L326" s="1">
        <v>42823</v>
      </c>
      <c r="M326" s="2">
        <v>0.15701461626190327</v>
      </c>
      <c r="N326" s="1">
        <v>13</v>
      </c>
      <c r="O326" s="1">
        <v>31</v>
      </c>
      <c r="P326" s="1">
        <v>1233</v>
      </c>
      <c r="Q326" s="1">
        <v>5560</v>
      </c>
      <c r="R326" s="1">
        <v>246</v>
      </c>
      <c r="S326" s="4">
        <v>16</v>
      </c>
      <c r="T326" s="1" t="s">
        <v>790</v>
      </c>
    </row>
    <row r="327" spans="1:20" x14ac:dyDescent="0.3">
      <c r="A327" s="3">
        <v>6802</v>
      </c>
      <c r="B327" s="1" t="s">
        <v>527</v>
      </c>
      <c r="C327" s="1" t="s">
        <v>528</v>
      </c>
      <c r="D327" s="1" t="s">
        <v>38</v>
      </c>
      <c r="E327" s="11">
        <v>45482</v>
      </c>
      <c r="F327" s="1">
        <v>393312</v>
      </c>
      <c r="G327" s="1">
        <v>253</v>
      </c>
      <c r="H327" s="1">
        <v>56527</v>
      </c>
      <c r="I327" s="1">
        <v>5912</v>
      </c>
      <c r="J327" s="1">
        <v>14676</v>
      </c>
      <c r="K327" s="1">
        <v>231646</v>
      </c>
      <c r="L327" s="1">
        <v>272245</v>
      </c>
      <c r="M327" s="2">
        <v>0.19606571881864779</v>
      </c>
      <c r="N327" s="1">
        <v>16</v>
      </c>
      <c r="O327" s="1">
        <v>7</v>
      </c>
      <c r="P327" s="1">
        <v>1816</v>
      </c>
      <c r="Q327" s="1">
        <v>32551</v>
      </c>
      <c r="R327" s="1">
        <v>1358</v>
      </c>
      <c r="S327" s="4">
        <v>18</v>
      </c>
      <c r="T327" s="1" t="s">
        <v>793</v>
      </c>
    </row>
    <row r="328" spans="1:20" x14ac:dyDescent="0.3">
      <c r="A328" s="3">
        <v>2145</v>
      </c>
      <c r="B328" s="1" t="s">
        <v>529</v>
      </c>
      <c r="C328" s="1" t="s">
        <v>530</v>
      </c>
      <c r="D328" s="1" t="s">
        <v>15</v>
      </c>
      <c r="E328" s="11">
        <v>45643</v>
      </c>
      <c r="F328" s="1">
        <v>413356</v>
      </c>
      <c r="G328" s="1">
        <v>557</v>
      </c>
      <c r="H328" s="1">
        <v>11942</v>
      </c>
      <c r="I328" s="1">
        <v>2353</v>
      </c>
      <c r="J328" s="1">
        <v>1314</v>
      </c>
      <c r="K328" s="1">
        <v>48468</v>
      </c>
      <c r="L328" s="1">
        <v>25970</v>
      </c>
      <c r="M328" s="2">
        <v>3.7761638877867987E-2</v>
      </c>
      <c r="N328" s="1">
        <v>14</v>
      </c>
      <c r="O328" s="1">
        <v>0</v>
      </c>
      <c r="P328" s="1">
        <v>654</v>
      </c>
      <c r="Q328" s="1">
        <v>6492</v>
      </c>
      <c r="R328" s="1">
        <v>0</v>
      </c>
      <c r="S328" s="4">
        <v>16</v>
      </c>
      <c r="T328" s="1" t="s">
        <v>790</v>
      </c>
    </row>
    <row r="329" spans="1:20" x14ac:dyDescent="0.3">
      <c r="A329" s="3">
        <v>9734</v>
      </c>
      <c r="B329" s="1" t="s">
        <v>531</v>
      </c>
      <c r="C329" s="1" t="s">
        <v>532</v>
      </c>
      <c r="D329" s="1" t="s">
        <v>20</v>
      </c>
      <c r="E329" s="11">
        <v>45299</v>
      </c>
      <c r="F329" s="1">
        <v>69078</v>
      </c>
      <c r="G329" s="1">
        <v>761</v>
      </c>
      <c r="H329" s="1">
        <v>1226</v>
      </c>
      <c r="I329" s="1">
        <v>175</v>
      </c>
      <c r="J329" s="1">
        <v>312</v>
      </c>
      <c r="K329" s="1">
        <v>5750</v>
      </c>
      <c r="L329" s="1">
        <v>8421</v>
      </c>
      <c r="M329" s="2">
        <v>2.479805437331712E-2</v>
      </c>
      <c r="N329" s="1">
        <v>11</v>
      </c>
      <c r="O329" s="1">
        <v>0</v>
      </c>
      <c r="P329" s="1">
        <v>53</v>
      </c>
      <c r="Q329" s="1">
        <v>406</v>
      </c>
      <c r="R329" s="1">
        <v>0</v>
      </c>
      <c r="S329" s="4">
        <v>7</v>
      </c>
      <c r="T329" s="1" t="s">
        <v>794</v>
      </c>
    </row>
    <row r="330" spans="1:20" x14ac:dyDescent="0.3">
      <c r="A330" s="3">
        <v>6037</v>
      </c>
      <c r="B330" s="1" t="s">
        <v>533</v>
      </c>
      <c r="C330" s="1" t="s">
        <v>534</v>
      </c>
      <c r="D330" s="1" t="s">
        <v>20</v>
      </c>
      <c r="E330" s="11">
        <v>45510</v>
      </c>
      <c r="F330" s="1">
        <v>48455</v>
      </c>
      <c r="G330" s="1">
        <v>1652</v>
      </c>
      <c r="H330" s="1">
        <v>3182</v>
      </c>
      <c r="I330" s="1">
        <v>314</v>
      </c>
      <c r="J330" s="1">
        <v>226</v>
      </c>
      <c r="K330" s="1">
        <v>10719</v>
      </c>
      <c r="L330" s="1">
        <v>20285</v>
      </c>
      <c r="M330" s="2">
        <v>7.6813538334537204E-2</v>
      </c>
      <c r="N330" s="1">
        <v>14</v>
      </c>
      <c r="O330" s="1">
        <v>0</v>
      </c>
      <c r="P330" s="1">
        <v>309</v>
      </c>
      <c r="Q330" s="1">
        <v>850</v>
      </c>
      <c r="R330" s="1">
        <v>73</v>
      </c>
      <c r="S330" s="4">
        <v>19</v>
      </c>
      <c r="T330" s="1" t="s">
        <v>795</v>
      </c>
    </row>
    <row r="331" spans="1:20" x14ac:dyDescent="0.3">
      <c r="A331" s="3">
        <v>9719</v>
      </c>
      <c r="B331" s="1" t="s">
        <v>137</v>
      </c>
      <c r="C331" s="1" t="s">
        <v>535</v>
      </c>
      <c r="D331" s="1" t="s">
        <v>38</v>
      </c>
      <c r="E331" s="11">
        <v>45514</v>
      </c>
      <c r="F331" s="1">
        <v>440901</v>
      </c>
      <c r="G331" s="1">
        <v>1393</v>
      </c>
      <c r="H331" s="1">
        <v>12628</v>
      </c>
      <c r="I331" s="1">
        <v>1236</v>
      </c>
      <c r="J331" s="1">
        <v>2708</v>
      </c>
      <c r="K331" s="1">
        <v>51082</v>
      </c>
      <c r="L331" s="1">
        <v>94064</v>
      </c>
      <c r="M331" s="2">
        <v>3.7586669116196153E-2</v>
      </c>
      <c r="N331" s="1">
        <v>5</v>
      </c>
      <c r="O331" s="1">
        <v>25</v>
      </c>
      <c r="P331" s="1">
        <v>516</v>
      </c>
      <c r="Q331" s="1">
        <v>3181</v>
      </c>
      <c r="R331" s="1">
        <v>0</v>
      </c>
      <c r="S331" s="4">
        <v>12</v>
      </c>
      <c r="T331" s="1" t="s">
        <v>787</v>
      </c>
    </row>
    <row r="332" spans="1:20" x14ac:dyDescent="0.3">
      <c r="A332" s="3">
        <v>3128</v>
      </c>
      <c r="B332" s="1" t="s">
        <v>536</v>
      </c>
      <c r="C332" s="1" t="s">
        <v>537</v>
      </c>
      <c r="D332" s="1" t="s">
        <v>20</v>
      </c>
      <c r="E332" s="11">
        <v>45456</v>
      </c>
      <c r="F332" s="1">
        <v>435195</v>
      </c>
      <c r="G332" s="1">
        <v>1022</v>
      </c>
      <c r="H332" s="1">
        <v>55081</v>
      </c>
      <c r="I332" s="1">
        <v>10225</v>
      </c>
      <c r="J332" s="1">
        <v>3891</v>
      </c>
      <c r="K332" s="1">
        <v>189047</v>
      </c>
      <c r="L332" s="1">
        <v>357131</v>
      </c>
      <c r="M332" s="2">
        <v>0.15900228633141467</v>
      </c>
      <c r="N332" s="1">
        <v>18</v>
      </c>
      <c r="O332" s="1">
        <v>0</v>
      </c>
      <c r="P332" s="1">
        <v>2500</v>
      </c>
      <c r="Q332" s="1">
        <v>32484</v>
      </c>
      <c r="R332" s="1">
        <v>0</v>
      </c>
      <c r="S332" s="4">
        <v>21</v>
      </c>
      <c r="T332" s="1" t="s">
        <v>799</v>
      </c>
    </row>
    <row r="333" spans="1:20" x14ac:dyDescent="0.3">
      <c r="A333" s="3">
        <v>1215</v>
      </c>
      <c r="B333" s="1" t="s">
        <v>538</v>
      </c>
      <c r="C333" s="1" t="s">
        <v>539</v>
      </c>
      <c r="D333" s="1" t="s">
        <v>15</v>
      </c>
      <c r="E333" s="11">
        <v>45448</v>
      </c>
      <c r="F333" s="1">
        <v>172424</v>
      </c>
      <c r="G333" s="1">
        <v>1791</v>
      </c>
      <c r="H333" s="1">
        <v>6062</v>
      </c>
      <c r="I333" s="1">
        <v>522</v>
      </c>
      <c r="J333" s="1">
        <v>1133</v>
      </c>
      <c r="K333" s="1">
        <v>15706</v>
      </c>
      <c r="L333" s="1">
        <v>31652</v>
      </c>
      <c r="M333" s="2">
        <v>4.4755950447733492E-2</v>
      </c>
      <c r="N333" s="1">
        <v>14</v>
      </c>
      <c r="O333" s="1">
        <v>0</v>
      </c>
      <c r="P333" s="1">
        <v>421</v>
      </c>
      <c r="Q333" s="1">
        <v>3084</v>
      </c>
      <c r="R333" s="1">
        <v>0</v>
      </c>
      <c r="S333" s="4">
        <v>23</v>
      </c>
      <c r="T333" s="1" t="s">
        <v>786</v>
      </c>
    </row>
    <row r="334" spans="1:20" x14ac:dyDescent="0.3">
      <c r="A334" s="3">
        <v>6537</v>
      </c>
      <c r="B334" s="1" t="s">
        <v>252</v>
      </c>
      <c r="C334" s="1" t="s">
        <v>540</v>
      </c>
      <c r="D334" s="1" t="s">
        <v>20</v>
      </c>
      <c r="E334" s="11">
        <v>45372</v>
      </c>
      <c r="F334" s="1">
        <v>491836</v>
      </c>
      <c r="G334" s="1">
        <v>1524</v>
      </c>
      <c r="H334" s="1">
        <v>698</v>
      </c>
      <c r="I334" s="1">
        <v>49</v>
      </c>
      <c r="J334" s="1">
        <v>96</v>
      </c>
      <c r="K334" s="1">
        <v>1926</v>
      </c>
      <c r="L334" s="1">
        <v>5550</v>
      </c>
      <c r="M334" s="2">
        <v>1.7139859628006082E-3</v>
      </c>
      <c r="N334" s="1">
        <v>6</v>
      </c>
      <c r="O334" s="1">
        <v>0</v>
      </c>
      <c r="P334" s="1">
        <v>38</v>
      </c>
      <c r="Q334" s="1">
        <v>293</v>
      </c>
      <c r="R334" s="1">
        <v>16</v>
      </c>
      <c r="S334" s="4">
        <v>19</v>
      </c>
      <c r="T334" s="1" t="s">
        <v>795</v>
      </c>
    </row>
    <row r="335" spans="1:20" x14ac:dyDescent="0.3">
      <c r="A335" s="3">
        <v>6828</v>
      </c>
      <c r="B335" s="1" t="s">
        <v>541</v>
      </c>
      <c r="C335" s="1" t="s">
        <v>542</v>
      </c>
      <c r="D335" s="1" t="s">
        <v>15</v>
      </c>
      <c r="E335" s="11">
        <v>45630</v>
      </c>
      <c r="F335" s="1">
        <v>358156</v>
      </c>
      <c r="G335" s="1">
        <v>1035</v>
      </c>
      <c r="H335" s="1">
        <v>366</v>
      </c>
      <c r="I335" s="1">
        <v>71</v>
      </c>
      <c r="J335" s="1">
        <v>39</v>
      </c>
      <c r="K335" s="1">
        <v>929</v>
      </c>
      <c r="L335" s="1">
        <v>1196</v>
      </c>
      <c r="M335" s="2">
        <v>1.3290298082399847E-3</v>
      </c>
      <c r="N335" s="1">
        <v>8</v>
      </c>
      <c r="O335" s="1">
        <v>0</v>
      </c>
      <c r="P335" s="1">
        <v>11</v>
      </c>
      <c r="Q335" s="1">
        <v>144</v>
      </c>
      <c r="R335" s="1">
        <v>8</v>
      </c>
      <c r="S335" s="4">
        <v>15</v>
      </c>
      <c r="T335" s="1" t="s">
        <v>789</v>
      </c>
    </row>
    <row r="336" spans="1:20" x14ac:dyDescent="0.3">
      <c r="A336" s="3">
        <v>4068</v>
      </c>
      <c r="B336" s="1" t="s">
        <v>39</v>
      </c>
      <c r="C336" s="1" t="s">
        <v>543</v>
      </c>
      <c r="D336" s="1" t="s">
        <v>20</v>
      </c>
      <c r="E336" s="11">
        <v>45464</v>
      </c>
      <c r="F336" s="1">
        <v>94755</v>
      </c>
      <c r="G336" s="1">
        <v>1715</v>
      </c>
      <c r="H336" s="1">
        <v>5481</v>
      </c>
      <c r="I336" s="1">
        <v>529</v>
      </c>
      <c r="J336" s="1">
        <v>847</v>
      </c>
      <c r="K336" s="1">
        <v>25067</v>
      </c>
      <c r="L336" s="1">
        <v>36604</v>
      </c>
      <c r="M336" s="2">
        <v>7.2365574376022368E-2</v>
      </c>
      <c r="N336" s="1">
        <v>6</v>
      </c>
      <c r="O336" s="1">
        <v>0</v>
      </c>
      <c r="P336" s="1">
        <v>463</v>
      </c>
      <c r="Q336" s="1">
        <v>2288</v>
      </c>
      <c r="R336" s="1">
        <v>49</v>
      </c>
      <c r="S336" s="4">
        <v>13</v>
      </c>
      <c r="T336" s="1" t="s">
        <v>782</v>
      </c>
    </row>
    <row r="337" spans="1:20" x14ac:dyDescent="0.3">
      <c r="A337" s="3">
        <v>8902</v>
      </c>
      <c r="B337" s="1" t="s">
        <v>182</v>
      </c>
      <c r="C337" s="1" t="s">
        <v>544</v>
      </c>
      <c r="D337" s="1" t="s">
        <v>15</v>
      </c>
      <c r="E337" s="11">
        <v>45428</v>
      </c>
      <c r="F337" s="1">
        <v>192890</v>
      </c>
      <c r="G337" s="1">
        <v>1785</v>
      </c>
      <c r="H337" s="1">
        <v>20605</v>
      </c>
      <c r="I337" s="1">
        <v>3013</v>
      </c>
      <c r="J337" s="1">
        <v>4885</v>
      </c>
      <c r="K337" s="1">
        <v>97748</v>
      </c>
      <c r="L337" s="1">
        <v>61596</v>
      </c>
      <c r="M337" s="2">
        <v>0.14776815801752294</v>
      </c>
      <c r="N337" s="1">
        <v>23</v>
      </c>
      <c r="O337" s="1">
        <v>0</v>
      </c>
      <c r="P337" s="1">
        <v>844</v>
      </c>
      <c r="Q337" s="1">
        <v>12778</v>
      </c>
      <c r="R337" s="1">
        <v>349</v>
      </c>
      <c r="S337" s="4">
        <v>12</v>
      </c>
      <c r="T337" s="1" t="s">
        <v>787</v>
      </c>
    </row>
    <row r="338" spans="1:20" x14ac:dyDescent="0.3">
      <c r="A338" s="3">
        <v>9537</v>
      </c>
      <c r="B338" s="1" t="s">
        <v>69</v>
      </c>
      <c r="C338" s="1" t="s">
        <v>545</v>
      </c>
      <c r="D338" s="1" t="s">
        <v>38</v>
      </c>
      <c r="E338" s="11">
        <v>45545</v>
      </c>
      <c r="F338" s="1">
        <v>85305</v>
      </c>
      <c r="G338" s="1">
        <v>471</v>
      </c>
      <c r="H338" s="1">
        <v>6732</v>
      </c>
      <c r="I338" s="1">
        <v>774</v>
      </c>
      <c r="J338" s="1">
        <v>1653</v>
      </c>
      <c r="K338" s="1">
        <v>21058</v>
      </c>
      <c r="L338" s="1">
        <v>36973</v>
      </c>
      <c r="M338" s="2">
        <v>0.10736768067522419</v>
      </c>
      <c r="N338" s="1">
        <v>10</v>
      </c>
      <c r="O338" s="1">
        <v>30</v>
      </c>
      <c r="P338" s="1">
        <v>215</v>
      </c>
      <c r="Q338" s="1">
        <v>4178</v>
      </c>
      <c r="R338" s="1">
        <v>0</v>
      </c>
      <c r="S338" s="4">
        <v>13</v>
      </c>
      <c r="T338" s="1" t="s">
        <v>782</v>
      </c>
    </row>
    <row r="339" spans="1:20" x14ac:dyDescent="0.3">
      <c r="A339" s="3">
        <v>2123</v>
      </c>
      <c r="B339" s="1" t="s">
        <v>117</v>
      </c>
      <c r="C339" s="1" t="s">
        <v>546</v>
      </c>
      <c r="D339" s="1" t="s">
        <v>20</v>
      </c>
      <c r="E339" s="11">
        <v>45583</v>
      </c>
      <c r="F339" s="1">
        <v>247820</v>
      </c>
      <c r="G339" s="1">
        <v>270</v>
      </c>
      <c r="H339" s="1">
        <v>344</v>
      </c>
      <c r="I339" s="1">
        <v>57</v>
      </c>
      <c r="J339" s="1">
        <v>46</v>
      </c>
      <c r="K339" s="1">
        <v>1259</v>
      </c>
      <c r="L339" s="1">
        <v>2204</v>
      </c>
      <c r="M339" s="2">
        <v>1.8037285126301348E-3</v>
      </c>
      <c r="N339" s="1">
        <v>16</v>
      </c>
      <c r="O339" s="1">
        <v>0</v>
      </c>
      <c r="P339" s="1">
        <v>11</v>
      </c>
      <c r="Q339" s="1">
        <v>89</v>
      </c>
      <c r="R339" s="1">
        <v>0</v>
      </c>
      <c r="S339" s="4">
        <v>20</v>
      </c>
      <c r="T339" s="1" t="s">
        <v>797</v>
      </c>
    </row>
    <row r="340" spans="1:20" x14ac:dyDescent="0.3">
      <c r="A340" s="3">
        <v>4614</v>
      </c>
      <c r="B340" s="1" t="s">
        <v>424</v>
      </c>
      <c r="C340" s="1" t="s">
        <v>547</v>
      </c>
      <c r="D340" s="1" t="s">
        <v>20</v>
      </c>
      <c r="E340" s="11">
        <v>45491</v>
      </c>
      <c r="F340" s="1">
        <v>302807</v>
      </c>
      <c r="G340" s="1">
        <v>1054</v>
      </c>
      <c r="H340" s="1">
        <v>38888</v>
      </c>
      <c r="I340" s="1">
        <v>5852</v>
      </c>
      <c r="J340" s="1">
        <v>4142</v>
      </c>
      <c r="K340" s="1">
        <v>169112</v>
      </c>
      <c r="L340" s="1">
        <v>134501</v>
      </c>
      <c r="M340" s="2">
        <v>0.1614295574408782</v>
      </c>
      <c r="N340" s="1">
        <v>11</v>
      </c>
      <c r="O340" s="1">
        <v>0</v>
      </c>
      <c r="P340" s="1">
        <v>2649</v>
      </c>
      <c r="Q340" s="1">
        <v>10779</v>
      </c>
      <c r="R340" s="1">
        <v>302</v>
      </c>
      <c r="S340" s="4">
        <v>12</v>
      </c>
      <c r="T340" s="1" t="s">
        <v>787</v>
      </c>
    </row>
    <row r="341" spans="1:20" x14ac:dyDescent="0.3">
      <c r="A341" s="3">
        <v>9810</v>
      </c>
      <c r="B341" s="1" t="s">
        <v>277</v>
      </c>
      <c r="C341" s="1" t="s">
        <v>548</v>
      </c>
      <c r="D341" s="1" t="s">
        <v>38</v>
      </c>
      <c r="E341" s="11">
        <v>45351</v>
      </c>
      <c r="F341" s="1">
        <v>18883</v>
      </c>
      <c r="G341" s="1">
        <v>934</v>
      </c>
      <c r="H341" s="1">
        <v>2685</v>
      </c>
      <c r="I341" s="1">
        <v>400</v>
      </c>
      <c r="J341" s="1">
        <v>155</v>
      </c>
      <c r="K341" s="1">
        <v>6424</v>
      </c>
      <c r="L341" s="1">
        <v>6646</v>
      </c>
      <c r="M341" s="2">
        <v>0.17158290525869829</v>
      </c>
      <c r="N341" s="1">
        <v>21</v>
      </c>
      <c r="O341" s="1">
        <v>17</v>
      </c>
      <c r="P341" s="1">
        <v>205</v>
      </c>
      <c r="Q341" s="1">
        <v>1189</v>
      </c>
      <c r="R341" s="1">
        <v>68</v>
      </c>
      <c r="S341" s="4">
        <v>23</v>
      </c>
      <c r="T341" s="1" t="s">
        <v>786</v>
      </c>
    </row>
    <row r="342" spans="1:20" x14ac:dyDescent="0.3">
      <c r="A342" s="3">
        <v>1559</v>
      </c>
      <c r="B342" s="1" t="s">
        <v>549</v>
      </c>
      <c r="C342" s="1" t="s">
        <v>550</v>
      </c>
      <c r="D342" s="1" t="s">
        <v>38</v>
      </c>
      <c r="E342" s="11">
        <v>45640</v>
      </c>
      <c r="F342" s="1">
        <v>296268</v>
      </c>
      <c r="G342" s="1">
        <v>346</v>
      </c>
      <c r="H342" s="1">
        <v>22343</v>
      </c>
      <c r="I342" s="1">
        <v>2907</v>
      </c>
      <c r="J342" s="1">
        <v>1196</v>
      </c>
      <c r="K342" s="1">
        <v>37729</v>
      </c>
      <c r="L342" s="1">
        <v>45030</v>
      </c>
      <c r="M342" s="2">
        <v>8.9263774690482939E-2</v>
      </c>
      <c r="N342" s="1">
        <v>8</v>
      </c>
      <c r="O342" s="1">
        <v>36</v>
      </c>
      <c r="P342" s="1">
        <v>2024</v>
      </c>
      <c r="Q342" s="1">
        <v>6333</v>
      </c>
      <c r="R342" s="1">
        <v>0</v>
      </c>
      <c r="S342" s="4">
        <v>8</v>
      </c>
      <c r="T342" s="1" t="s">
        <v>796</v>
      </c>
    </row>
    <row r="343" spans="1:20" x14ac:dyDescent="0.3">
      <c r="A343" s="3">
        <v>5755</v>
      </c>
      <c r="B343" s="1" t="s">
        <v>551</v>
      </c>
      <c r="C343" s="1" t="s">
        <v>552</v>
      </c>
      <c r="D343" s="1" t="s">
        <v>38</v>
      </c>
      <c r="E343" s="11">
        <v>45551</v>
      </c>
      <c r="F343" s="1">
        <v>477828</v>
      </c>
      <c r="G343" s="1">
        <v>1328</v>
      </c>
      <c r="H343" s="1">
        <v>2175</v>
      </c>
      <c r="I343" s="1">
        <v>427</v>
      </c>
      <c r="J343" s="1">
        <v>613</v>
      </c>
      <c r="K343" s="1">
        <v>4133</v>
      </c>
      <c r="L343" s="1">
        <v>10698</v>
      </c>
      <c r="M343" s="2">
        <v>6.7283625070108906E-3</v>
      </c>
      <c r="N343" s="1">
        <v>11</v>
      </c>
      <c r="O343" s="1">
        <v>35</v>
      </c>
      <c r="P343" s="1">
        <v>172</v>
      </c>
      <c r="Q343" s="1">
        <v>383</v>
      </c>
      <c r="R343" s="1">
        <v>25</v>
      </c>
      <c r="S343" s="4">
        <v>23</v>
      </c>
      <c r="T343" s="1" t="s">
        <v>786</v>
      </c>
    </row>
    <row r="344" spans="1:20" x14ac:dyDescent="0.3">
      <c r="A344" s="3">
        <v>7215</v>
      </c>
      <c r="B344" s="1" t="s">
        <v>39</v>
      </c>
      <c r="C344" s="1" t="s">
        <v>553</v>
      </c>
      <c r="D344" s="1" t="s">
        <v>38</v>
      </c>
      <c r="E344" s="11">
        <v>45435</v>
      </c>
      <c r="F344" s="1">
        <v>77581</v>
      </c>
      <c r="G344" s="1">
        <v>1431</v>
      </c>
      <c r="H344" s="1">
        <v>7248</v>
      </c>
      <c r="I344" s="1">
        <v>558</v>
      </c>
      <c r="J344" s="1">
        <v>1946</v>
      </c>
      <c r="K344" s="1">
        <v>16764</v>
      </c>
      <c r="L344" s="1">
        <v>57268</v>
      </c>
      <c r="M344" s="2">
        <v>0.12570088037019372</v>
      </c>
      <c r="N344" s="1">
        <v>13</v>
      </c>
      <c r="O344" s="1">
        <v>30</v>
      </c>
      <c r="P344" s="1">
        <v>273</v>
      </c>
      <c r="Q344" s="1">
        <v>1546</v>
      </c>
      <c r="R344" s="1">
        <v>43</v>
      </c>
      <c r="S344" s="4">
        <v>10</v>
      </c>
      <c r="T344" s="1" t="s">
        <v>783</v>
      </c>
    </row>
    <row r="345" spans="1:20" x14ac:dyDescent="0.3">
      <c r="A345" s="3">
        <v>7251</v>
      </c>
      <c r="B345" s="1" t="s">
        <v>349</v>
      </c>
      <c r="C345" s="1" t="s">
        <v>554</v>
      </c>
      <c r="D345" s="1" t="s">
        <v>15</v>
      </c>
      <c r="E345" s="11">
        <v>45643</v>
      </c>
      <c r="F345" s="1">
        <v>111285</v>
      </c>
      <c r="G345" s="1">
        <v>888</v>
      </c>
      <c r="H345" s="1">
        <v>1802</v>
      </c>
      <c r="I345" s="1">
        <v>278</v>
      </c>
      <c r="J345" s="1">
        <v>431</v>
      </c>
      <c r="K345" s="1">
        <v>5202</v>
      </c>
      <c r="L345" s="1">
        <v>5572</v>
      </c>
      <c r="M345" s="2">
        <v>2.2563687828548323E-2</v>
      </c>
      <c r="N345" s="1">
        <v>14</v>
      </c>
      <c r="O345" s="1">
        <v>0</v>
      </c>
      <c r="P345" s="1">
        <v>163</v>
      </c>
      <c r="Q345" s="1">
        <v>863</v>
      </c>
      <c r="R345" s="1">
        <v>0</v>
      </c>
      <c r="S345" s="4">
        <v>9</v>
      </c>
      <c r="T345" s="1" t="s">
        <v>798</v>
      </c>
    </row>
    <row r="346" spans="1:20" x14ac:dyDescent="0.3">
      <c r="A346" s="3">
        <v>5789</v>
      </c>
      <c r="B346" s="1" t="s">
        <v>555</v>
      </c>
      <c r="C346" s="1" t="s">
        <v>556</v>
      </c>
      <c r="D346" s="1" t="s">
        <v>15</v>
      </c>
      <c r="E346" s="11">
        <v>45623</v>
      </c>
      <c r="F346" s="1">
        <v>128692</v>
      </c>
      <c r="G346" s="1">
        <v>946</v>
      </c>
      <c r="H346" s="1">
        <v>6349</v>
      </c>
      <c r="I346" s="1">
        <v>462</v>
      </c>
      <c r="J346" s="1">
        <v>1120</v>
      </c>
      <c r="K346" s="1">
        <v>11194</v>
      </c>
      <c r="L346" s="1">
        <v>33957</v>
      </c>
      <c r="M346" s="2">
        <v>6.1627762409473784E-2</v>
      </c>
      <c r="N346" s="1">
        <v>7</v>
      </c>
      <c r="O346" s="1">
        <v>0</v>
      </c>
      <c r="P346" s="1">
        <v>212</v>
      </c>
      <c r="Q346" s="1">
        <v>1938</v>
      </c>
      <c r="R346" s="1">
        <v>0</v>
      </c>
      <c r="S346" s="4">
        <v>13</v>
      </c>
      <c r="T346" s="1" t="s">
        <v>782</v>
      </c>
    </row>
    <row r="347" spans="1:20" x14ac:dyDescent="0.3">
      <c r="A347" s="3">
        <v>3574</v>
      </c>
      <c r="B347" s="1" t="s">
        <v>55</v>
      </c>
      <c r="C347" s="1" t="s">
        <v>557</v>
      </c>
      <c r="D347" s="1" t="s">
        <v>38</v>
      </c>
      <c r="E347" s="11">
        <v>45636</v>
      </c>
      <c r="F347" s="1">
        <v>359787</v>
      </c>
      <c r="G347" s="1">
        <v>1567</v>
      </c>
      <c r="H347" s="1">
        <v>50811</v>
      </c>
      <c r="I347" s="1">
        <v>1085</v>
      </c>
      <c r="J347" s="1">
        <v>3709</v>
      </c>
      <c r="K347" s="1">
        <v>200316</v>
      </c>
      <c r="L347" s="1">
        <v>349459</v>
      </c>
      <c r="M347" s="2">
        <v>0.15454977528370953</v>
      </c>
      <c r="N347" s="1">
        <v>6</v>
      </c>
      <c r="O347" s="1">
        <v>15</v>
      </c>
      <c r="P347" s="1">
        <v>1357</v>
      </c>
      <c r="Q347" s="1">
        <v>30188</v>
      </c>
      <c r="R347" s="1">
        <v>0</v>
      </c>
      <c r="S347" s="4">
        <v>16</v>
      </c>
      <c r="T347" s="1" t="s">
        <v>790</v>
      </c>
    </row>
    <row r="348" spans="1:20" x14ac:dyDescent="0.3">
      <c r="A348" s="3">
        <v>2963</v>
      </c>
      <c r="B348" s="1" t="s">
        <v>558</v>
      </c>
      <c r="C348" s="1" t="s">
        <v>559</v>
      </c>
      <c r="D348" s="1" t="s">
        <v>15</v>
      </c>
      <c r="E348" s="11">
        <v>45342</v>
      </c>
      <c r="F348" s="1">
        <v>133106</v>
      </c>
      <c r="G348" s="1">
        <v>1375</v>
      </c>
      <c r="H348" s="1">
        <v>5669</v>
      </c>
      <c r="I348" s="1">
        <v>760</v>
      </c>
      <c r="J348" s="1">
        <v>831</v>
      </c>
      <c r="K348" s="1">
        <v>26157</v>
      </c>
      <c r="L348" s="1">
        <v>15668</v>
      </c>
      <c r="M348" s="2">
        <v>5.4542995807852386E-2</v>
      </c>
      <c r="N348" s="1">
        <v>13</v>
      </c>
      <c r="O348" s="1">
        <v>0</v>
      </c>
      <c r="P348" s="1">
        <v>181</v>
      </c>
      <c r="Q348" s="1">
        <v>3982</v>
      </c>
      <c r="R348" s="1">
        <v>0</v>
      </c>
      <c r="S348" s="4">
        <v>15</v>
      </c>
      <c r="T348" s="1" t="s">
        <v>789</v>
      </c>
    </row>
    <row r="349" spans="1:20" x14ac:dyDescent="0.3">
      <c r="A349" s="3">
        <v>6519</v>
      </c>
      <c r="B349" s="1" t="s">
        <v>536</v>
      </c>
      <c r="C349" s="1" t="s">
        <v>560</v>
      </c>
      <c r="D349" s="1" t="s">
        <v>20</v>
      </c>
      <c r="E349" s="11">
        <v>45432</v>
      </c>
      <c r="F349" s="1">
        <v>14834</v>
      </c>
      <c r="G349" s="1">
        <v>1200</v>
      </c>
      <c r="H349" s="1">
        <v>2165</v>
      </c>
      <c r="I349" s="1">
        <v>174</v>
      </c>
      <c r="J349" s="1">
        <v>373</v>
      </c>
      <c r="K349" s="1">
        <v>8720</v>
      </c>
      <c r="L349" s="1">
        <v>4788</v>
      </c>
      <c r="M349" s="2">
        <v>0.18282324389915061</v>
      </c>
      <c r="N349" s="1">
        <v>4</v>
      </c>
      <c r="O349" s="1">
        <v>0</v>
      </c>
      <c r="P349" s="1">
        <v>141</v>
      </c>
      <c r="Q349" s="1">
        <v>1710</v>
      </c>
      <c r="R349" s="1">
        <v>118</v>
      </c>
      <c r="S349" s="4">
        <v>15</v>
      </c>
      <c r="T349" s="1" t="s">
        <v>789</v>
      </c>
    </row>
    <row r="350" spans="1:20" x14ac:dyDescent="0.3">
      <c r="A350" s="3">
        <v>4143</v>
      </c>
      <c r="B350" s="1" t="s">
        <v>23</v>
      </c>
      <c r="C350" s="1" t="s">
        <v>561</v>
      </c>
      <c r="D350" s="1" t="s">
        <v>15</v>
      </c>
      <c r="E350" s="11">
        <v>45302</v>
      </c>
      <c r="F350" s="1">
        <v>176504</v>
      </c>
      <c r="G350" s="1">
        <v>1749</v>
      </c>
      <c r="H350" s="1">
        <v>554</v>
      </c>
      <c r="I350" s="1">
        <v>34</v>
      </c>
      <c r="J350" s="1">
        <v>104</v>
      </c>
      <c r="K350" s="1">
        <v>1644</v>
      </c>
      <c r="L350" s="1">
        <v>2952</v>
      </c>
      <c r="M350" s="2">
        <v>3.920591034764085E-3</v>
      </c>
      <c r="N350" s="1">
        <v>3</v>
      </c>
      <c r="O350" s="1">
        <v>0</v>
      </c>
      <c r="P350" s="1">
        <v>13</v>
      </c>
      <c r="Q350" s="1">
        <v>288</v>
      </c>
      <c r="R350" s="1">
        <v>5</v>
      </c>
      <c r="S350" s="4">
        <v>22</v>
      </c>
      <c r="T350" s="1" t="s">
        <v>784</v>
      </c>
    </row>
    <row r="351" spans="1:20" x14ac:dyDescent="0.3">
      <c r="A351" s="3">
        <v>6446</v>
      </c>
      <c r="B351" s="1" t="s">
        <v>225</v>
      </c>
      <c r="C351" s="1" t="s">
        <v>562</v>
      </c>
      <c r="D351" s="1" t="s">
        <v>20</v>
      </c>
      <c r="E351" s="11">
        <v>45361</v>
      </c>
      <c r="F351" s="1">
        <v>300171</v>
      </c>
      <c r="G351" s="1">
        <v>1054</v>
      </c>
      <c r="H351" s="1">
        <v>10835</v>
      </c>
      <c r="I351" s="1">
        <v>1150</v>
      </c>
      <c r="J351" s="1">
        <v>554</v>
      </c>
      <c r="K351" s="1">
        <v>49964</v>
      </c>
      <c r="L351" s="1">
        <v>63563</v>
      </c>
      <c r="M351" s="2">
        <v>4.1772856138667623E-2</v>
      </c>
      <c r="N351" s="1">
        <v>15</v>
      </c>
      <c r="O351" s="1">
        <v>0</v>
      </c>
      <c r="P351" s="1">
        <v>372</v>
      </c>
      <c r="Q351" s="1">
        <v>3772</v>
      </c>
      <c r="R351" s="1">
        <v>0</v>
      </c>
      <c r="S351" s="4">
        <v>22</v>
      </c>
      <c r="T351" s="1" t="s">
        <v>784</v>
      </c>
    </row>
    <row r="352" spans="1:20" x14ac:dyDescent="0.3">
      <c r="A352" s="3">
        <v>9748</v>
      </c>
      <c r="B352" s="1" t="s">
        <v>139</v>
      </c>
      <c r="C352" s="1" t="s">
        <v>563</v>
      </c>
      <c r="D352" s="1" t="s">
        <v>38</v>
      </c>
      <c r="E352" s="11">
        <v>45390</v>
      </c>
      <c r="F352" s="1">
        <v>138970</v>
      </c>
      <c r="G352" s="1">
        <v>1274</v>
      </c>
      <c r="H352" s="1">
        <v>12863</v>
      </c>
      <c r="I352" s="1">
        <v>391</v>
      </c>
      <c r="J352" s="1">
        <v>2483</v>
      </c>
      <c r="K352" s="1">
        <v>55385</v>
      </c>
      <c r="L352" s="1">
        <v>75459</v>
      </c>
      <c r="M352" s="2">
        <v>0.11324026768367274</v>
      </c>
      <c r="N352" s="1">
        <v>22</v>
      </c>
      <c r="O352" s="1">
        <v>13</v>
      </c>
      <c r="P352" s="1">
        <v>987</v>
      </c>
      <c r="Q352" s="1">
        <v>5767</v>
      </c>
      <c r="R352" s="1">
        <v>577</v>
      </c>
      <c r="S352" s="4">
        <v>10</v>
      </c>
      <c r="T352" s="1" t="s">
        <v>783</v>
      </c>
    </row>
    <row r="353" spans="1:20" x14ac:dyDescent="0.3">
      <c r="A353" s="3">
        <v>9986</v>
      </c>
      <c r="B353" s="1" t="s">
        <v>250</v>
      </c>
      <c r="C353" s="1" t="s">
        <v>564</v>
      </c>
      <c r="D353" s="1" t="s">
        <v>38</v>
      </c>
      <c r="E353" s="11">
        <v>45573</v>
      </c>
      <c r="F353" s="1">
        <v>75995</v>
      </c>
      <c r="G353" s="1">
        <v>1575</v>
      </c>
      <c r="H353" s="1">
        <v>6203</v>
      </c>
      <c r="I353" s="1">
        <v>302</v>
      </c>
      <c r="J353" s="1">
        <v>294</v>
      </c>
      <c r="K353" s="1">
        <v>25253</v>
      </c>
      <c r="L353" s="1">
        <v>45373</v>
      </c>
      <c r="M353" s="2">
        <v>8.9466412263964734E-2</v>
      </c>
      <c r="N353" s="1">
        <v>7</v>
      </c>
      <c r="O353" s="1">
        <v>33</v>
      </c>
      <c r="P353" s="1">
        <v>131</v>
      </c>
      <c r="Q353" s="1">
        <v>4225</v>
      </c>
      <c r="R353" s="1">
        <v>69</v>
      </c>
      <c r="S353" s="4">
        <v>22</v>
      </c>
      <c r="T353" s="1" t="s">
        <v>784</v>
      </c>
    </row>
    <row r="354" spans="1:20" x14ac:dyDescent="0.3">
      <c r="A354" s="3">
        <v>3175</v>
      </c>
      <c r="B354" s="1" t="s">
        <v>565</v>
      </c>
      <c r="C354" s="1" t="s">
        <v>566</v>
      </c>
      <c r="D354" s="1" t="s">
        <v>15</v>
      </c>
      <c r="E354" s="11">
        <v>45366</v>
      </c>
      <c r="F354" s="1">
        <v>127445</v>
      </c>
      <c r="G354" s="1">
        <v>1136</v>
      </c>
      <c r="H354" s="1">
        <v>10408</v>
      </c>
      <c r="I354" s="1">
        <v>1031</v>
      </c>
      <c r="J354" s="1">
        <v>511</v>
      </c>
      <c r="K354" s="1">
        <v>31326</v>
      </c>
      <c r="L354" s="1">
        <v>64946</v>
      </c>
      <c r="M354" s="2">
        <v>9.3765938247871633E-2</v>
      </c>
      <c r="N354" s="1">
        <v>19</v>
      </c>
      <c r="O354" s="1">
        <v>0</v>
      </c>
      <c r="P354" s="1">
        <v>238</v>
      </c>
      <c r="Q354" s="1">
        <v>4722</v>
      </c>
      <c r="R354" s="1">
        <v>0</v>
      </c>
      <c r="S354" s="4">
        <v>12</v>
      </c>
      <c r="T354" s="1" t="s">
        <v>787</v>
      </c>
    </row>
    <row r="355" spans="1:20" x14ac:dyDescent="0.3">
      <c r="A355" s="3">
        <v>5140</v>
      </c>
      <c r="B355" s="1" t="s">
        <v>567</v>
      </c>
      <c r="C355" s="1" t="s">
        <v>568</v>
      </c>
      <c r="D355" s="1" t="s">
        <v>20</v>
      </c>
      <c r="E355" s="11">
        <v>45385</v>
      </c>
      <c r="F355" s="1">
        <v>296464</v>
      </c>
      <c r="G355" s="1">
        <v>573</v>
      </c>
      <c r="H355" s="1">
        <v>24221</v>
      </c>
      <c r="I355" s="1">
        <v>2904</v>
      </c>
      <c r="J355" s="1">
        <v>4644</v>
      </c>
      <c r="K355" s="1">
        <v>119179</v>
      </c>
      <c r="L355" s="1">
        <v>71511</v>
      </c>
      <c r="M355" s="2">
        <v>0.10715972259701009</v>
      </c>
      <c r="N355" s="1">
        <v>18</v>
      </c>
      <c r="O355" s="1">
        <v>0</v>
      </c>
      <c r="P355" s="1">
        <v>891</v>
      </c>
      <c r="Q355" s="1">
        <v>14874</v>
      </c>
      <c r="R355" s="1">
        <v>310</v>
      </c>
      <c r="S355" s="4">
        <v>15</v>
      </c>
      <c r="T355" s="1" t="s">
        <v>789</v>
      </c>
    </row>
    <row r="356" spans="1:20" x14ac:dyDescent="0.3">
      <c r="A356" s="3">
        <v>6264</v>
      </c>
      <c r="B356" s="1" t="s">
        <v>421</v>
      </c>
      <c r="C356" s="1" t="s">
        <v>569</v>
      </c>
      <c r="D356" s="1" t="s">
        <v>15</v>
      </c>
      <c r="E356" s="11">
        <v>45481</v>
      </c>
      <c r="F356" s="1">
        <v>420213</v>
      </c>
      <c r="G356" s="1">
        <v>1327</v>
      </c>
      <c r="H356" s="1">
        <v>29127</v>
      </c>
      <c r="I356" s="1">
        <v>2546</v>
      </c>
      <c r="J356" s="1">
        <v>1653</v>
      </c>
      <c r="K356" s="1">
        <v>41147</v>
      </c>
      <c r="L356" s="1">
        <v>129843</v>
      </c>
      <c r="M356" s="2">
        <v>7.9307398866765189E-2</v>
      </c>
      <c r="N356" s="1">
        <v>12</v>
      </c>
      <c r="O356" s="1">
        <v>0</v>
      </c>
      <c r="P356" s="1">
        <v>1512</v>
      </c>
      <c r="Q356" s="1">
        <v>6201</v>
      </c>
      <c r="R356" s="1">
        <v>419</v>
      </c>
      <c r="S356" s="4">
        <v>16</v>
      </c>
      <c r="T356" s="1" t="s">
        <v>790</v>
      </c>
    </row>
    <row r="357" spans="1:20" x14ac:dyDescent="0.3">
      <c r="A357" s="3">
        <v>6752</v>
      </c>
      <c r="B357" s="1" t="s">
        <v>75</v>
      </c>
      <c r="C357" s="1" t="s">
        <v>570</v>
      </c>
      <c r="D357" s="1" t="s">
        <v>20</v>
      </c>
      <c r="E357" s="11">
        <v>45308</v>
      </c>
      <c r="F357" s="1">
        <v>8228</v>
      </c>
      <c r="G357" s="1">
        <v>1895</v>
      </c>
      <c r="H357" s="1">
        <v>968</v>
      </c>
      <c r="I357" s="1">
        <v>114</v>
      </c>
      <c r="J357" s="1">
        <v>219</v>
      </c>
      <c r="K357" s="1">
        <v>2418</v>
      </c>
      <c r="L357" s="1">
        <v>3408</v>
      </c>
      <c r="M357" s="2">
        <v>0.15811861934856589</v>
      </c>
      <c r="N357" s="1">
        <v>21</v>
      </c>
      <c r="O357" s="1">
        <v>0</v>
      </c>
      <c r="P357" s="1">
        <v>77</v>
      </c>
      <c r="Q357" s="1">
        <v>433</v>
      </c>
      <c r="R357" s="1">
        <v>9</v>
      </c>
      <c r="S357" s="4">
        <v>21</v>
      </c>
      <c r="T357" s="1" t="s">
        <v>799</v>
      </c>
    </row>
    <row r="358" spans="1:20" x14ac:dyDescent="0.3">
      <c r="A358" s="3">
        <v>7475</v>
      </c>
      <c r="B358" s="1" t="s">
        <v>97</v>
      </c>
      <c r="C358" s="1" t="s">
        <v>571</v>
      </c>
      <c r="D358" s="1" t="s">
        <v>20</v>
      </c>
      <c r="E358" s="11">
        <v>45578</v>
      </c>
      <c r="F358" s="1">
        <v>60812</v>
      </c>
      <c r="G358" s="1">
        <v>1298</v>
      </c>
      <c r="H358" s="1">
        <v>1729</v>
      </c>
      <c r="I358" s="1">
        <v>221</v>
      </c>
      <c r="J358" s="1">
        <v>345</v>
      </c>
      <c r="K358" s="1">
        <v>2211</v>
      </c>
      <c r="L358" s="1">
        <v>3624</v>
      </c>
      <c r="M358" s="2">
        <v>3.7739261987765574E-2</v>
      </c>
      <c r="N358" s="1">
        <v>6</v>
      </c>
      <c r="O358" s="1">
        <v>0</v>
      </c>
      <c r="P358" s="1">
        <v>53</v>
      </c>
      <c r="Q358" s="1">
        <v>227</v>
      </c>
      <c r="R358" s="1">
        <v>5</v>
      </c>
      <c r="S358" s="4">
        <v>9</v>
      </c>
      <c r="T358" s="1" t="s">
        <v>798</v>
      </c>
    </row>
    <row r="359" spans="1:20" x14ac:dyDescent="0.3">
      <c r="A359" s="3">
        <v>6668</v>
      </c>
      <c r="B359" s="1" t="s">
        <v>358</v>
      </c>
      <c r="C359" s="1" t="s">
        <v>572</v>
      </c>
      <c r="D359" s="1" t="s">
        <v>15</v>
      </c>
      <c r="E359" s="11">
        <v>45555</v>
      </c>
      <c r="F359" s="1">
        <v>199967</v>
      </c>
      <c r="G359" s="1">
        <v>688</v>
      </c>
      <c r="H359" s="1">
        <v>12744</v>
      </c>
      <c r="I359" s="1">
        <v>1050</v>
      </c>
      <c r="J359" s="1">
        <v>3389</v>
      </c>
      <c r="K359" s="1">
        <v>45918</v>
      </c>
      <c r="L359" s="1">
        <v>71114</v>
      </c>
      <c r="M359" s="2">
        <v>8.5929178314421886E-2</v>
      </c>
      <c r="N359" s="1">
        <v>19</v>
      </c>
      <c r="O359" s="1">
        <v>0</v>
      </c>
      <c r="P359" s="1">
        <v>423</v>
      </c>
      <c r="Q359" s="1">
        <v>6258</v>
      </c>
      <c r="R359" s="1">
        <v>210</v>
      </c>
      <c r="S359" s="4">
        <v>18</v>
      </c>
      <c r="T359" s="1" t="s">
        <v>793</v>
      </c>
    </row>
    <row r="360" spans="1:20" x14ac:dyDescent="0.3">
      <c r="A360" s="3">
        <v>3877</v>
      </c>
      <c r="B360" s="1" t="s">
        <v>573</v>
      </c>
      <c r="C360" s="1" t="s">
        <v>574</v>
      </c>
      <c r="D360" s="1" t="s">
        <v>20</v>
      </c>
      <c r="E360" s="11">
        <v>45324</v>
      </c>
      <c r="F360" s="1">
        <v>163280</v>
      </c>
      <c r="G360" s="1">
        <v>1197</v>
      </c>
      <c r="H360" s="1">
        <v>2600</v>
      </c>
      <c r="I360" s="1">
        <v>329</v>
      </c>
      <c r="J360" s="1">
        <v>285</v>
      </c>
      <c r="K360" s="1">
        <v>2684</v>
      </c>
      <c r="L360" s="1">
        <v>10280</v>
      </c>
      <c r="M360" s="2">
        <v>1.9683978441940225E-2</v>
      </c>
      <c r="N360" s="1">
        <v>9</v>
      </c>
      <c r="O360" s="1">
        <v>0</v>
      </c>
      <c r="P360" s="1">
        <v>253</v>
      </c>
      <c r="Q360" s="1">
        <v>460</v>
      </c>
      <c r="R360" s="1">
        <v>24</v>
      </c>
      <c r="S360" s="4">
        <v>11</v>
      </c>
      <c r="T360" s="1" t="s">
        <v>785</v>
      </c>
    </row>
    <row r="361" spans="1:20" x14ac:dyDescent="0.3">
      <c r="A361" s="3">
        <v>4646</v>
      </c>
      <c r="B361" s="1" t="s">
        <v>575</v>
      </c>
      <c r="C361" s="1" t="s">
        <v>576</v>
      </c>
      <c r="D361" s="1" t="s">
        <v>15</v>
      </c>
      <c r="E361" s="11">
        <v>45580</v>
      </c>
      <c r="F361" s="1">
        <v>122390</v>
      </c>
      <c r="G361" s="1">
        <v>345</v>
      </c>
      <c r="H361" s="1">
        <v>13404</v>
      </c>
      <c r="I361" s="1">
        <v>720</v>
      </c>
      <c r="J361" s="1">
        <v>748</v>
      </c>
      <c r="K361" s="1">
        <v>43121</v>
      </c>
      <c r="L361" s="1">
        <v>82860</v>
      </c>
      <c r="M361" s="2">
        <v>0.12151319552251001</v>
      </c>
      <c r="N361" s="1">
        <v>7</v>
      </c>
      <c r="O361" s="1">
        <v>0</v>
      </c>
      <c r="P361" s="1">
        <v>495</v>
      </c>
      <c r="Q361" s="1">
        <v>7707</v>
      </c>
      <c r="R361" s="1">
        <v>0</v>
      </c>
      <c r="S361" s="4">
        <v>17</v>
      </c>
      <c r="T361" s="1" t="s">
        <v>791</v>
      </c>
    </row>
    <row r="362" spans="1:20" x14ac:dyDescent="0.3">
      <c r="A362" s="3">
        <v>7647</v>
      </c>
      <c r="B362" s="1" t="s">
        <v>577</v>
      </c>
      <c r="C362" s="1" t="s">
        <v>578</v>
      </c>
      <c r="D362" s="1" t="s">
        <v>15</v>
      </c>
      <c r="E362" s="11">
        <v>45524</v>
      </c>
      <c r="F362" s="1">
        <v>169933</v>
      </c>
      <c r="G362" s="1">
        <v>931</v>
      </c>
      <c r="H362" s="1">
        <v>332</v>
      </c>
      <c r="I362" s="1">
        <v>19</v>
      </c>
      <c r="J362" s="1">
        <v>80</v>
      </c>
      <c r="K362" s="1">
        <v>415</v>
      </c>
      <c r="L362" s="1">
        <v>1486</v>
      </c>
      <c r="M362" s="2">
        <v>2.5362937157585638E-3</v>
      </c>
      <c r="N362" s="1">
        <v>4</v>
      </c>
      <c r="O362" s="1">
        <v>0</v>
      </c>
      <c r="P362" s="1">
        <v>19</v>
      </c>
      <c r="Q362" s="1">
        <v>52</v>
      </c>
      <c r="R362" s="1">
        <v>5</v>
      </c>
      <c r="S362" s="4">
        <v>9</v>
      </c>
      <c r="T362" s="1" t="s">
        <v>798</v>
      </c>
    </row>
    <row r="363" spans="1:20" x14ac:dyDescent="0.3">
      <c r="A363" s="3">
        <v>1773</v>
      </c>
      <c r="B363" s="1" t="s">
        <v>579</v>
      </c>
      <c r="C363" s="1" t="s">
        <v>580</v>
      </c>
      <c r="D363" s="1" t="s">
        <v>15</v>
      </c>
      <c r="E363" s="11">
        <v>45500</v>
      </c>
      <c r="F363" s="1">
        <v>93520</v>
      </c>
      <c r="G363" s="1">
        <v>1847</v>
      </c>
      <c r="H363" s="1">
        <v>9507</v>
      </c>
      <c r="I363" s="1">
        <v>1809</v>
      </c>
      <c r="J363" s="1">
        <v>1499</v>
      </c>
      <c r="K363" s="1">
        <v>26804</v>
      </c>
      <c r="L363" s="1">
        <v>58749</v>
      </c>
      <c r="M363" s="2">
        <v>0.1370295124037639</v>
      </c>
      <c r="N363" s="1">
        <v>17</v>
      </c>
      <c r="O363" s="1">
        <v>0</v>
      </c>
      <c r="P363" s="1">
        <v>594</v>
      </c>
      <c r="Q363" s="1">
        <v>4937</v>
      </c>
      <c r="R363" s="1">
        <v>0</v>
      </c>
      <c r="S363" s="4">
        <v>9</v>
      </c>
      <c r="T363" s="1" t="s">
        <v>798</v>
      </c>
    </row>
    <row r="364" spans="1:20" x14ac:dyDescent="0.3">
      <c r="A364" s="3">
        <v>6099</v>
      </c>
      <c r="B364" s="1" t="s">
        <v>444</v>
      </c>
      <c r="C364" s="1" t="s">
        <v>581</v>
      </c>
      <c r="D364" s="1" t="s">
        <v>38</v>
      </c>
      <c r="E364" s="11">
        <v>45646</v>
      </c>
      <c r="F364" s="1">
        <v>360916</v>
      </c>
      <c r="G364" s="1">
        <v>118</v>
      </c>
      <c r="H364" s="1">
        <v>28747</v>
      </c>
      <c r="I364" s="1">
        <v>81</v>
      </c>
      <c r="J364" s="1">
        <v>1735</v>
      </c>
      <c r="K364" s="1">
        <v>100104</v>
      </c>
      <c r="L364" s="1">
        <v>186988</v>
      </c>
      <c r="M364" s="2">
        <v>8.4681754203194098E-2</v>
      </c>
      <c r="N364" s="1">
        <v>21</v>
      </c>
      <c r="O364" s="1">
        <v>44</v>
      </c>
      <c r="P364" s="1">
        <v>1315</v>
      </c>
      <c r="Q364" s="1">
        <v>5931</v>
      </c>
      <c r="R364" s="1">
        <v>0</v>
      </c>
      <c r="S364" s="4">
        <v>22</v>
      </c>
      <c r="T364" s="1" t="s">
        <v>784</v>
      </c>
    </row>
    <row r="365" spans="1:20" x14ac:dyDescent="0.3">
      <c r="A365" s="3">
        <v>8159</v>
      </c>
      <c r="B365" s="1" t="s">
        <v>91</v>
      </c>
      <c r="C365" s="1" t="s">
        <v>582</v>
      </c>
      <c r="D365" s="1" t="s">
        <v>38</v>
      </c>
      <c r="E365" s="11">
        <v>45332</v>
      </c>
      <c r="F365" s="1">
        <v>334028</v>
      </c>
      <c r="G365" s="1">
        <v>1080</v>
      </c>
      <c r="H365" s="1">
        <v>2793</v>
      </c>
      <c r="I365" s="1">
        <v>91</v>
      </c>
      <c r="J365" s="1">
        <v>552</v>
      </c>
      <c r="K365" s="1">
        <v>5814</v>
      </c>
      <c r="L365" s="1">
        <v>12572</v>
      </c>
      <c r="M365" s="2">
        <v>1.0286562803118302E-2</v>
      </c>
      <c r="N365" s="1">
        <v>10</v>
      </c>
      <c r="O365" s="1">
        <v>23</v>
      </c>
      <c r="P365" s="1">
        <v>176</v>
      </c>
      <c r="Q365" s="1">
        <v>1069</v>
      </c>
      <c r="R365" s="1">
        <v>11</v>
      </c>
      <c r="S365" s="4">
        <v>12</v>
      </c>
      <c r="T365" s="1" t="s">
        <v>787</v>
      </c>
    </row>
    <row r="366" spans="1:20" x14ac:dyDescent="0.3">
      <c r="A366" s="3">
        <v>8521</v>
      </c>
      <c r="B366" s="1" t="s">
        <v>297</v>
      </c>
      <c r="C366" s="1" t="s">
        <v>583</v>
      </c>
      <c r="D366" s="1" t="s">
        <v>20</v>
      </c>
      <c r="E366" s="11">
        <v>45475</v>
      </c>
      <c r="F366" s="1">
        <v>464149</v>
      </c>
      <c r="G366" s="1">
        <v>1529</v>
      </c>
      <c r="H366" s="1">
        <v>43421</v>
      </c>
      <c r="I366" s="1">
        <v>5534</v>
      </c>
      <c r="J366" s="1">
        <v>11149</v>
      </c>
      <c r="K366" s="1">
        <v>85112</v>
      </c>
      <c r="L366" s="1">
        <v>112053</v>
      </c>
      <c r="M366" s="2">
        <v>0.12949289990929636</v>
      </c>
      <c r="N366" s="1">
        <v>25</v>
      </c>
      <c r="O366" s="1">
        <v>0</v>
      </c>
      <c r="P366" s="1">
        <v>3745</v>
      </c>
      <c r="Q366" s="1">
        <v>8002</v>
      </c>
      <c r="R366" s="1">
        <v>538</v>
      </c>
      <c r="S366" s="4">
        <v>9</v>
      </c>
      <c r="T366" s="1" t="s">
        <v>798</v>
      </c>
    </row>
    <row r="367" spans="1:20" x14ac:dyDescent="0.3">
      <c r="A367" s="3">
        <v>5981</v>
      </c>
      <c r="B367" s="1" t="s">
        <v>398</v>
      </c>
      <c r="C367" s="1" t="s">
        <v>584</v>
      </c>
      <c r="D367" s="1" t="s">
        <v>15</v>
      </c>
      <c r="E367" s="11">
        <v>45635</v>
      </c>
      <c r="F367" s="1">
        <v>484389</v>
      </c>
      <c r="G367" s="1">
        <v>1748</v>
      </c>
      <c r="H367" s="1">
        <v>51662</v>
      </c>
      <c r="I367" s="1">
        <v>7895</v>
      </c>
      <c r="J367" s="1">
        <v>15341</v>
      </c>
      <c r="K367" s="1">
        <v>257264</v>
      </c>
      <c r="L367" s="1">
        <v>220873</v>
      </c>
      <c r="M367" s="2">
        <v>0.15462365990970067</v>
      </c>
      <c r="N367" s="1">
        <v>18</v>
      </c>
      <c r="O367" s="1">
        <v>0</v>
      </c>
      <c r="P367" s="1">
        <v>2696</v>
      </c>
      <c r="Q367" s="1">
        <v>20591</v>
      </c>
      <c r="R367" s="1">
        <v>0</v>
      </c>
      <c r="S367" s="4">
        <v>20</v>
      </c>
      <c r="T367" s="1" t="s">
        <v>797</v>
      </c>
    </row>
    <row r="368" spans="1:20" x14ac:dyDescent="0.3">
      <c r="A368" s="3">
        <v>3478</v>
      </c>
      <c r="B368" s="1" t="s">
        <v>585</v>
      </c>
      <c r="C368" s="1" t="s">
        <v>586</v>
      </c>
      <c r="D368" s="1" t="s">
        <v>20</v>
      </c>
      <c r="E368" s="11">
        <v>45443</v>
      </c>
      <c r="F368" s="1">
        <v>202324</v>
      </c>
      <c r="G368" s="1">
        <v>1840</v>
      </c>
      <c r="H368" s="1">
        <v>10637</v>
      </c>
      <c r="I368" s="1">
        <v>216</v>
      </c>
      <c r="J368" s="1">
        <v>1840</v>
      </c>
      <c r="K368" s="1">
        <v>19228</v>
      </c>
      <c r="L368" s="1">
        <v>79026</v>
      </c>
      <c r="M368" s="2">
        <v>6.273600759178348E-2</v>
      </c>
      <c r="N368" s="1">
        <v>24</v>
      </c>
      <c r="O368" s="1">
        <v>0</v>
      </c>
      <c r="P368" s="1">
        <v>390</v>
      </c>
      <c r="Q368" s="1">
        <v>2092</v>
      </c>
      <c r="R368" s="1">
        <v>72</v>
      </c>
      <c r="S368" s="4">
        <v>6</v>
      </c>
      <c r="T368" s="1" t="s">
        <v>792</v>
      </c>
    </row>
    <row r="369" spans="1:20" x14ac:dyDescent="0.3">
      <c r="A369" s="3">
        <v>7243</v>
      </c>
      <c r="B369" s="1" t="s">
        <v>366</v>
      </c>
      <c r="C369" s="1" t="s">
        <v>587</v>
      </c>
      <c r="D369" s="1" t="s">
        <v>15</v>
      </c>
      <c r="E369" s="11">
        <v>45315</v>
      </c>
      <c r="F369" s="1">
        <v>451805</v>
      </c>
      <c r="G369" s="1">
        <v>1137</v>
      </c>
      <c r="H369" s="1">
        <v>18756</v>
      </c>
      <c r="I369" s="1">
        <v>3027</v>
      </c>
      <c r="J369" s="1">
        <v>1852</v>
      </c>
      <c r="K369" s="1">
        <v>32128</v>
      </c>
      <c r="L369" s="1">
        <v>46896</v>
      </c>
      <c r="M369" s="2">
        <v>5.2312391407797615E-2</v>
      </c>
      <c r="N369" s="1">
        <v>20</v>
      </c>
      <c r="O369" s="1">
        <v>0</v>
      </c>
      <c r="P369" s="1">
        <v>391</v>
      </c>
      <c r="Q369" s="1">
        <v>3404</v>
      </c>
      <c r="R369" s="1">
        <v>283</v>
      </c>
      <c r="S369" s="4">
        <v>20</v>
      </c>
      <c r="T369" s="1" t="s">
        <v>797</v>
      </c>
    </row>
    <row r="370" spans="1:20" x14ac:dyDescent="0.3">
      <c r="A370" s="3">
        <v>4922</v>
      </c>
      <c r="B370" s="1" t="s">
        <v>536</v>
      </c>
      <c r="C370" s="1" t="s">
        <v>588</v>
      </c>
      <c r="D370" s="1" t="s">
        <v>20</v>
      </c>
      <c r="E370" s="11">
        <v>45450</v>
      </c>
      <c r="F370" s="1">
        <v>71355</v>
      </c>
      <c r="G370" s="1">
        <v>686</v>
      </c>
      <c r="H370" s="1">
        <v>9470</v>
      </c>
      <c r="I370" s="1">
        <v>455</v>
      </c>
      <c r="J370" s="1">
        <v>2032</v>
      </c>
      <c r="K370" s="1">
        <v>24633</v>
      </c>
      <c r="L370" s="1">
        <v>37001</v>
      </c>
      <c r="M370" s="2">
        <v>0.16757059771564711</v>
      </c>
      <c r="N370" s="1">
        <v>11</v>
      </c>
      <c r="O370" s="1">
        <v>0</v>
      </c>
      <c r="P370" s="1">
        <v>533</v>
      </c>
      <c r="Q370" s="1">
        <v>1771</v>
      </c>
      <c r="R370" s="1">
        <v>43</v>
      </c>
      <c r="S370" s="4">
        <v>11</v>
      </c>
      <c r="T370" s="1" t="s">
        <v>785</v>
      </c>
    </row>
    <row r="371" spans="1:20" x14ac:dyDescent="0.3">
      <c r="A371" s="3">
        <v>3508</v>
      </c>
      <c r="B371" s="1" t="s">
        <v>589</v>
      </c>
      <c r="C371" s="1" t="s">
        <v>590</v>
      </c>
      <c r="D371" s="1" t="s">
        <v>20</v>
      </c>
      <c r="E371" s="11">
        <v>45458</v>
      </c>
      <c r="F371" s="1">
        <v>21767</v>
      </c>
      <c r="G371" s="1">
        <v>1440</v>
      </c>
      <c r="H371" s="1">
        <v>1288</v>
      </c>
      <c r="I371" s="1">
        <v>156</v>
      </c>
      <c r="J371" s="1">
        <v>263</v>
      </c>
      <c r="K371" s="1">
        <v>2143</v>
      </c>
      <c r="L371" s="1">
        <v>8513</v>
      </c>
      <c r="M371" s="2">
        <v>7.8421463683557679E-2</v>
      </c>
      <c r="N371" s="1">
        <v>17</v>
      </c>
      <c r="O371" s="1">
        <v>0</v>
      </c>
      <c r="P371" s="1">
        <v>28</v>
      </c>
      <c r="Q371" s="1">
        <v>244</v>
      </c>
      <c r="R371" s="1">
        <v>18</v>
      </c>
      <c r="S371" s="4">
        <v>9</v>
      </c>
      <c r="T371" s="1" t="s">
        <v>798</v>
      </c>
    </row>
    <row r="372" spans="1:20" x14ac:dyDescent="0.3">
      <c r="A372" s="3">
        <v>5194</v>
      </c>
      <c r="B372" s="1" t="s">
        <v>444</v>
      </c>
      <c r="C372" s="1" t="s">
        <v>591</v>
      </c>
      <c r="D372" s="1" t="s">
        <v>38</v>
      </c>
      <c r="E372" s="11">
        <v>45300</v>
      </c>
      <c r="F372" s="1">
        <v>207718</v>
      </c>
      <c r="G372" s="1">
        <v>248</v>
      </c>
      <c r="H372" s="1">
        <v>24099</v>
      </c>
      <c r="I372" s="1">
        <v>4270</v>
      </c>
      <c r="J372" s="1">
        <v>6880</v>
      </c>
      <c r="K372" s="1">
        <v>43878</v>
      </c>
      <c r="L372" s="1">
        <v>98672</v>
      </c>
      <c r="M372" s="2">
        <v>0.16969641533232555</v>
      </c>
      <c r="N372" s="1">
        <v>23</v>
      </c>
      <c r="O372" s="1">
        <v>41</v>
      </c>
      <c r="P372" s="1">
        <v>2017</v>
      </c>
      <c r="Q372" s="1">
        <v>5594</v>
      </c>
      <c r="R372" s="1">
        <v>144</v>
      </c>
      <c r="S372" s="4">
        <v>7</v>
      </c>
      <c r="T372" s="1" t="s">
        <v>794</v>
      </c>
    </row>
    <row r="373" spans="1:20" x14ac:dyDescent="0.3">
      <c r="A373" s="3">
        <v>5481</v>
      </c>
      <c r="B373" s="1" t="s">
        <v>239</v>
      </c>
      <c r="C373" s="1" t="s">
        <v>592</v>
      </c>
      <c r="D373" s="1" t="s">
        <v>20</v>
      </c>
      <c r="E373" s="11">
        <v>45595</v>
      </c>
      <c r="F373" s="1">
        <v>296719</v>
      </c>
      <c r="G373" s="1">
        <v>888</v>
      </c>
      <c r="H373" s="1">
        <v>12088</v>
      </c>
      <c r="I373" s="1">
        <v>725</v>
      </c>
      <c r="J373" s="1">
        <v>2545</v>
      </c>
      <c r="K373" s="1">
        <v>23251</v>
      </c>
      <c r="L373" s="1">
        <v>79518</v>
      </c>
      <c r="M373" s="2">
        <v>5.1759408733515547E-2</v>
      </c>
      <c r="N373" s="1">
        <v>18</v>
      </c>
      <c r="O373" s="1">
        <v>0</v>
      </c>
      <c r="P373" s="1">
        <v>906</v>
      </c>
      <c r="Q373" s="1">
        <v>1368</v>
      </c>
      <c r="R373" s="1">
        <v>113</v>
      </c>
      <c r="S373" s="4">
        <v>8</v>
      </c>
      <c r="T373" s="1" t="s">
        <v>796</v>
      </c>
    </row>
    <row r="374" spans="1:20" x14ac:dyDescent="0.3">
      <c r="A374" s="3">
        <v>6798</v>
      </c>
      <c r="B374" s="1" t="s">
        <v>63</v>
      </c>
      <c r="C374" s="1" t="s">
        <v>593</v>
      </c>
      <c r="D374" s="1" t="s">
        <v>38</v>
      </c>
      <c r="E374" s="11">
        <v>45371</v>
      </c>
      <c r="F374" s="1">
        <v>148724</v>
      </c>
      <c r="G374" s="1">
        <v>1963</v>
      </c>
      <c r="H374" s="1">
        <v>13048</v>
      </c>
      <c r="I374" s="1">
        <v>2318</v>
      </c>
      <c r="J374" s="1">
        <v>2289</v>
      </c>
      <c r="K374" s="1">
        <v>50043</v>
      </c>
      <c r="L374" s="1">
        <v>77345</v>
      </c>
      <c r="M374" s="2">
        <v>0.11870982491057261</v>
      </c>
      <c r="N374" s="1">
        <v>17</v>
      </c>
      <c r="O374" s="1">
        <v>45</v>
      </c>
      <c r="P374" s="1">
        <v>1077</v>
      </c>
      <c r="Q374" s="1">
        <v>9683</v>
      </c>
      <c r="R374" s="1">
        <v>392</v>
      </c>
      <c r="S374" s="4">
        <v>23</v>
      </c>
      <c r="T374" s="1" t="s">
        <v>786</v>
      </c>
    </row>
    <row r="375" spans="1:20" x14ac:dyDescent="0.3">
      <c r="A375" s="3">
        <v>8649</v>
      </c>
      <c r="B375" s="1" t="s">
        <v>18</v>
      </c>
      <c r="C375" s="1" t="s">
        <v>594</v>
      </c>
      <c r="D375" s="1" t="s">
        <v>38</v>
      </c>
      <c r="E375" s="11">
        <v>45601</v>
      </c>
      <c r="F375" s="1">
        <v>6559</v>
      </c>
      <c r="G375" s="1">
        <v>1133</v>
      </c>
      <c r="H375" s="1">
        <v>915</v>
      </c>
      <c r="I375" s="1">
        <v>52</v>
      </c>
      <c r="J375" s="1">
        <v>44</v>
      </c>
      <c r="K375" s="1">
        <v>3179</v>
      </c>
      <c r="L375" s="1">
        <v>5192</v>
      </c>
      <c r="M375" s="2">
        <v>0.15413935051074859</v>
      </c>
      <c r="N375" s="1">
        <v>5</v>
      </c>
      <c r="O375" s="1">
        <v>43</v>
      </c>
      <c r="P375" s="1">
        <v>22</v>
      </c>
      <c r="Q375" s="1">
        <v>400</v>
      </c>
      <c r="R375" s="1">
        <v>17</v>
      </c>
      <c r="S375" s="4">
        <v>18</v>
      </c>
      <c r="T375" s="1" t="s">
        <v>793</v>
      </c>
    </row>
    <row r="376" spans="1:20" x14ac:dyDescent="0.3">
      <c r="A376" s="3">
        <v>4055</v>
      </c>
      <c r="B376" s="1" t="s">
        <v>595</v>
      </c>
      <c r="C376" s="1" t="s">
        <v>596</v>
      </c>
      <c r="D376" s="1" t="s">
        <v>38</v>
      </c>
      <c r="E376" s="11">
        <v>45352</v>
      </c>
      <c r="F376" s="1">
        <v>7935</v>
      </c>
      <c r="G376" s="1">
        <v>1099</v>
      </c>
      <c r="H376" s="1">
        <v>271</v>
      </c>
      <c r="I376" s="1">
        <v>32</v>
      </c>
      <c r="J376" s="1">
        <v>18</v>
      </c>
      <c r="K376" s="1">
        <v>311</v>
      </c>
      <c r="L376" s="1">
        <v>1465</v>
      </c>
      <c r="M376" s="2">
        <v>4.0453686200378071E-2</v>
      </c>
      <c r="N376" s="1">
        <v>15</v>
      </c>
      <c r="O376" s="1">
        <v>22</v>
      </c>
      <c r="P376" s="1">
        <v>26</v>
      </c>
      <c r="Q376" s="1">
        <v>38</v>
      </c>
      <c r="R376" s="1">
        <v>2</v>
      </c>
      <c r="S376" s="4">
        <v>16</v>
      </c>
      <c r="T376" s="1" t="s">
        <v>790</v>
      </c>
    </row>
    <row r="377" spans="1:20" x14ac:dyDescent="0.3">
      <c r="A377" s="3">
        <v>7238</v>
      </c>
      <c r="B377" s="1" t="s">
        <v>597</v>
      </c>
      <c r="C377" s="1" t="s">
        <v>598</v>
      </c>
      <c r="D377" s="1" t="s">
        <v>38</v>
      </c>
      <c r="E377" s="11">
        <v>45396</v>
      </c>
      <c r="F377" s="1">
        <v>387008</v>
      </c>
      <c r="G377" s="1">
        <v>1375</v>
      </c>
      <c r="H377" s="1">
        <v>33051</v>
      </c>
      <c r="I377" s="1">
        <v>2736</v>
      </c>
      <c r="J377" s="1">
        <v>4633</v>
      </c>
      <c r="K377" s="1">
        <v>84296</v>
      </c>
      <c r="L377" s="1">
        <v>67143</v>
      </c>
      <c r="M377" s="2">
        <v>0.10444228543079213</v>
      </c>
      <c r="N377" s="1">
        <v>4</v>
      </c>
      <c r="O377" s="1">
        <v>25</v>
      </c>
      <c r="P377" s="1">
        <v>1752</v>
      </c>
      <c r="Q377" s="1">
        <v>12935</v>
      </c>
      <c r="R377" s="1">
        <v>0</v>
      </c>
      <c r="S377" s="4">
        <v>9</v>
      </c>
      <c r="T377" s="1" t="s">
        <v>798</v>
      </c>
    </row>
    <row r="378" spans="1:20" x14ac:dyDescent="0.3">
      <c r="A378" s="3">
        <v>4784</v>
      </c>
      <c r="B378" s="1" t="s">
        <v>599</v>
      </c>
      <c r="C378" s="1" t="s">
        <v>600</v>
      </c>
      <c r="D378" s="1" t="s">
        <v>15</v>
      </c>
      <c r="E378" s="11">
        <v>45402</v>
      </c>
      <c r="F378" s="1">
        <v>54930</v>
      </c>
      <c r="G378" s="1">
        <v>382</v>
      </c>
      <c r="H378" s="1">
        <v>4629</v>
      </c>
      <c r="I378" s="1">
        <v>555</v>
      </c>
      <c r="J378" s="1">
        <v>113</v>
      </c>
      <c r="K378" s="1">
        <v>5244</v>
      </c>
      <c r="L378" s="1">
        <v>19307</v>
      </c>
      <c r="M378" s="2">
        <v>9.6431822319315491E-2</v>
      </c>
      <c r="N378" s="1">
        <v>14</v>
      </c>
      <c r="O378" s="1">
        <v>0</v>
      </c>
      <c r="P378" s="1">
        <v>148</v>
      </c>
      <c r="Q378" s="1">
        <v>586</v>
      </c>
      <c r="R378" s="1">
        <v>0</v>
      </c>
      <c r="S378" s="4">
        <v>21</v>
      </c>
      <c r="T378" s="1" t="s">
        <v>799</v>
      </c>
    </row>
    <row r="379" spans="1:20" x14ac:dyDescent="0.3">
      <c r="A379" s="3">
        <v>4087</v>
      </c>
      <c r="B379" s="1" t="s">
        <v>386</v>
      </c>
      <c r="C379" s="1" t="s">
        <v>601</v>
      </c>
      <c r="D379" s="1" t="s">
        <v>20</v>
      </c>
      <c r="E379" s="11">
        <v>45626</v>
      </c>
      <c r="F379" s="1">
        <v>440569</v>
      </c>
      <c r="G379" s="1">
        <v>202</v>
      </c>
      <c r="H379" s="1">
        <v>61917</v>
      </c>
      <c r="I379" s="1">
        <v>6853</v>
      </c>
      <c r="J379" s="1">
        <v>15961</v>
      </c>
      <c r="K379" s="1">
        <v>197395</v>
      </c>
      <c r="L379" s="1">
        <v>468911</v>
      </c>
      <c r="M379" s="2">
        <v>0.19232174755827122</v>
      </c>
      <c r="N379" s="1">
        <v>4</v>
      </c>
      <c r="O379" s="1">
        <v>0</v>
      </c>
      <c r="P379" s="1">
        <v>1577</v>
      </c>
      <c r="Q379" s="1">
        <v>36775</v>
      </c>
      <c r="R379" s="1">
        <v>0</v>
      </c>
      <c r="S379" s="4">
        <v>21</v>
      </c>
      <c r="T379" s="1" t="s">
        <v>799</v>
      </c>
    </row>
    <row r="380" spans="1:20" x14ac:dyDescent="0.3">
      <c r="A380" s="3">
        <v>5137</v>
      </c>
      <c r="B380" s="1" t="s">
        <v>567</v>
      </c>
      <c r="C380" s="1" t="s">
        <v>602</v>
      </c>
      <c r="D380" s="1" t="s">
        <v>38</v>
      </c>
      <c r="E380" s="11">
        <v>45431</v>
      </c>
      <c r="F380" s="1">
        <v>202744</v>
      </c>
      <c r="G380" s="1">
        <v>1146</v>
      </c>
      <c r="H380" s="1">
        <v>12975</v>
      </c>
      <c r="I380" s="1">
        <v>904</v>
      </c>
      <c r="J380" s="1">
        <v>3097</v>
      </c>
      <c r="K380" s="1">
        <v>18626</v>
      </c>
      <c r="L380" s="1">
        <v>56195</v>
      </c>
      <c r="M380" s="2">
        <v>8.3731207828591725E-2</v>
      </c>
      <c r="N380" s="1">
        <v>12</v>
      </c>
      <c r="O380" s="1">
        <v>39</v>
      </c>
      <c r="P380" s="1">
        <v>971</v>
      </c>
      <c r="Q380" s="1">
        <v>2340</v>
      </c>
      <c r="R380" s="1">
        <v>0</v>
      </c>
      <c r="S380" s="4">
        <v>8</v>
      </c>
      <c r="T380" s="1" t="s">
        <v>796</v>
      </c>
    </row>
    <row r="381" spans="1:20" x14ac:dyDescent="0.3">
      <c r="A381" s="3">
        <v>8397</v>
      </c>
      <c r="B381" s="1" t="s">
        <v>603</v>
      </c>
      <c r="C381" s="1" t="s">
        <v>604</v>
      </c>
      <c r="D381" s="1" t="s">
        <v>15</v>
      </c>
      <c r="E381" s="11">
        <v>45414</v>
      </c>
      <c r="F381" s="1">
        <v>282334</v>
      </c>
      <c r="G381" s="1">
        <v>1136</v>
      </c>
      <c r="H381" s="1">
        <v>29553</v>
      </c>
      <c r="I381" s="1">
        <v>3464</v>
      </c>
      <c r="J381" s="1">
        <v>5502</v>
      </c>
      <c r="K381" s="1">
        <v>55566</v>
      </c>
      <c r="L381" s="1">
        <v>124930</v>
      </c>
      <c r="M381" s="2">
        <v>0.13643061055345795</v>
      </c>
      <c r="N381" s="1">
        <v>23</v>
      </c>
      <c r="O381" s="1">
        <v>0</v>
      </c>
      <c r="P381" s="1">
        <v>2157</v>
      </c>
      <c r="Q381" s="1">
        <v>9859</v>
      </c>
      <c r="R381" s="1">
        <v>906</v>
      </c>
      <c r="S381" s="4">
        <v>16</v>
      </c>
      <c r="T381" s="1" t="s">
        <v>790</v>
      </c>
    </row>
    <row r="382" spans="1:20" x14ac:dyDescent="0.3">
      <c r="A382" s="3">
        <v>3098</v>
      </c>
      <c r="B382" s="1" t="s">
        <v>414</v>
      </c>
      <c r="C382" s="1" t="s">
        <v>605</v>
      </c>
      <c r="D382" s="1" t="s">
        <v>20</v>
      </c>
      <c r="E382" s="11">
        <v>45395</v>
      </c>
      <c r="F382" s="1">
        <v>155976</v>
      </c>
      <c r="G382" s="1">
        <v>643</v>
      </c>
      <c r="H382" s="1">
        <v>5886</v>
      </c>
      <c r="I382" s="1">
        <v>620</v>
      </c>
      <c r="J382" s="1">
        <v>867</v>
      </c>
      <c r="K382" s="1">
        <v>7144</v>
      </c>
      <c r="L382" s="1">
        <v>12951</v>
      </c>
      <c r="M382" s="2">
        <v>4.7270092834795094E-2</v>
      </c>
      <c r="N382" s="1">
        <v>7</v>
      </c>
      <c r="O382" s="1">
        <v>0</v>
      </c>
      <c r="P382" s="1">
        <v>157</v>
      </c>
      <c r="Q382" s="1">
        <v>980</v>
      </c>
      <c r="R382" s="1">
        <v>4</v>
      </c>
      <c r="S382" s="4">
        <v>16</v>
      </c>
      <c r="T382" s="1" t="s">
        <v>790</v>
      </c>
    </row>
    <row r="383" spans="1:20" x14ac:dyDescent="0.3">
      <c r="A383" s="3">
        <v>7307</v>
      </c>
      <c r="B383" s="1" t="s">
        <v>107</v>
      </c>
      <c r="C383" s="1" t="s">
        <v>606</v>
      </c>
      <c r="D383" s="1" t="s">
        <v>38</v>
      </c>
      <c r="E383" s="11">
        <v>45418</v>
      </c>
      <c r="F383" s="1">
        <v>244366</v>
      </c>
      <c r="G383" s="1">
        <v>694</v>
      </c>
      <c r="H383" s="1">
        <v>21457</v>
      </c>
      <c r="I383" s="1">
        <v>1468</v>
      </c>
      <c r="J383" s="1">
        <v>2158</v>
      </c>
      <c r="K383" s="1">
        <v>98001</v>
      </c>
      <c r="L383" s="1">
        <v>46134</v>
      </c>
      <c r="M383" s="2">
        <v>0.10264521250910519</v>
      </c>
      <c r="N383" s="1">
        <v>15</v>
      </c>
      <c r="O383" s="1">
        <v>30</v>
      </c>
      <c r="P383" s="1">
        <v>496</v>
      </c>
      <c r="Q383" s="1">
        <v>13524</v>
      </c>
      <c r="R383" s="1">
        <v>0</v>
      </c>
      <c r="S383" s="4">
        <v>19</v>
      </c>
      <c r="T383" s="1" t="s">
        <v>795</v>
      </c>
    </row>
    <row r="384" spans="1:20" x14ac:dyDescent="0.3">
      <c r="A384" s="3">
        <v>7754</v>
      </c>
      <c r="B384" s="1" t="s">
        <v>277</v>
      </c>
      <c r="C384" s="1" t="s">
        <v>607</v>
      </c>
      <c r="D384" s="1" t="s">
        <v>38</v>
      </c>
      <c r="E384" s="11">
        <v>45617</v>
      </c>
      <c r="F384" s="1">
        <v>310577</v>
      </c>
      <c r="G384" s="1">
        <v>531</v>
      </c>
      <c r="H384" s="1">
        <v>31595</v>
      </c>
      <c r="I384" s="1">
        <v>1171</v>
      </c>
      <c r="J384" s="1">
        <v>8943</v>
      </c>
      <c r="K384" s="1">
        <v>50109</v>
      </c>
      <c r="L384" s="1">
        <v>207179</v>
      </c>
      <c r="M384" s="2">
        <v>0.13429519893617364</v>
      </c>
      <c r="N384" s="1">
        <v>16</v>
      </c>
      <c r="O384" s="1">
        <v>13</v>
      </c>
      <c r="P384" s="1">
        <v>1940</v>
      </c>
      <c r="Q384" s="1">
        <v>9729</v>
      </c>
      <c r="R384" s="1">
        <v>0</v>
      </c>
      <c r="S384" s="4">
        <v>14</v>
      </c>
      <c r="T384" s="1" t="s">
        <v>788</v>
      </c>
    </row>
    <row r="385" spans="1:20" x14ac:dyDescent="0.3">
      <c r="A385" s="3">
        <v>6889</v>
      </c>
      <c r="B385" s="1" t="s">
        <v>608</v>
      </c>
      <c r="C385" s="1" t="s">
        <v>609</v>
      </c>
      <c r="D385" s="1" t="s">
        <v>20</v>
      </c>
      <c r="E385" s="11">
        <v>45322</v>
      </c>
      <c r="F385" s="1">
        <v>319193</v>
      </c>
      <c r="G385" s="1">
        <v>457</v>
      </c>
      <c r="H385" s="1">
        <v>42731</v>
      </c>
      <c r="I385" s="1">
        <v>7227</v>
      </c>
      <c r="J385" s="1">
        <v>1859</v>
      </c>
      <c r="K385" s="1">
        <v>118829</v>
      </c>
      <c r="L385" s="1">
        <v>161791</v>
      </c>
      <c r="M385" s="2">
        <v>0.16233751993308124</v>
      </c>
      <c r="N385" s="1">
        <v>12</v>
      </c>
      <c r="O385" s="1">
        <v>0</v>
      </c>
      <c r="P385" s="1">
        <v>2430</v>
      </c>
      <c r="Q385" s="1">
        <v>23381</v>
      </c>
      <c r="R385" s="1">
        <v>1186</v>
      </c>
      <c r="S385" s="4">
        <v>18</v>
      </c>
      <c r="T385" s="1" t="s">
        <v>793</v>
      </c>
    </row>
    <row r="386" spans="1:20" x14ac:dyDescent="0.3">
      <c r="A386" s="3">
        <v>8920</v>
      </c>
      <c r="B386" s="1" t="s">
        <v>162</v>
      </c>
      <c r="C386" s="1" t="s">
        <v>610</v>
      </c>
      <c r="D386" s="1" t="s">
        <v>38</v>
      </c>
      <c r="E386" s="11">
        <v>45310</v>
      </c>
      <c r="F386" s="1">
        <v>52686</v>
      </c>
      <c r="G386" s="1">
        <v>1133</v>
      </c>
      <c r="H386" s="1">
        <v>3370</v>
      </c>
      <c r="I386" s="1">
        <v>528</v>
      </c>
      <c r="J386" s="1">
        <v>911</v>
      </c>
      <c r="K386" s="1">
        <v>11714</v>
      </c>
      <c r="L386" s="1">
        <v>6972</v>
      </c>
      <c r="M386" s="2">
        <v>9.1276619974945905E-2</v>
      </c>
      <c r="N386" s="1">
        <v>15</v>
      </c>
      <c r="O386" s="1">
        <v>43</v>
      </c>
      <c r="P386" s="1">
        <v>301</v>
      </c>
      <c r="Q386" s="1">
        <v>1984</v>
      </c>
      <c r="R386" s="1">
        <v>166</v>
      </c>
      <c r="S386" s="4">
        <v>15</v>
      </c>
      <c r="T386" s="1" t="s">
        <v>789</v>
      </c>
    </row>
    <row r="387" spans="1:20" x14ac:dyDescent="0.3">
      <c r="A387" s="3">
        <v>1436</v>
      </c>
      <c r="B387" s="1" t="s">
        <v>388</v>
      </c>
      <c r="C387" s="1" t="s">
        <v>611</v>
      </c>
      <c r="D387" s="1" t="s">
        <v>20</v>
      </c>
      <c r="E387" s="11">
        <v>45379</v>
      </c>
      <c r="F387" s="1">
        <v>252483</v>
      </c>
      <c r="G387" s="1">
        <v>1807</v>
      </c>
      <c r="H387" s="1">
        <v>3408</v>
      </c>
      <c r="I387" s="1">
        <v>386</v>
      </c>
      <c r="J387" s="1">
        <v>686</v>
      </c>
      <c r="K387" s="1">
        <v>6776</v>
      </c>
      <c r="L387" s="1">
        <v>14952</v>
      </c>
      <c r="M387" s="2">
        <v>1.7743768887410243E-2</v>
      </c>
      <c r="N387" s="1">
        <v>22</v>
      </c>
      <c r="O387" s="1">
        <v>0</v>
      </c>
      <c r="P387" s="1">
        <v>197</v>
      </c>
      <c r="Q387" s="1">
        <v>971</v>
      </c>
      <c r="R387" s="1">
        <v>28</v>
      </c>
      <c r="S387" s="4">
        <v>13</v>
      </c>
      <c r="T387" s="1" t="s">
        <v>782</v>
      </c>
    </row>
    <row r="388" spans="1:20" x14ac:dyDescent="0.3">
      <c r="A388" s="3">
        <v>3458</v>
      </c>
      <c r="B388" s="1" t="s">
        <v>178</v>
      </c>
      <c r="C388" s="1" t="s">
        <v>612</v>
      </c>
      <c r="D388" s="1" t="s">
        <v>38</v>
      </c>
      <c r="E388" s="11">
        <v>45393</v>
      </c>
      <c r="F388" s="1">
        <v>325411</v>
      </c>
      <c r="G388" s="1">
        <v>1564</v>
      </c>
      <c r="H388" s="1">
        <v>18356</v>
      </c>
      <c r="I388" s="1">
        <v>3343</v>
      </c>
      <c r="J388" s="1">
        <v>2533</v>
      </c>
      <c r="K388" s="1">
        <v>82504</v>
      </c>
      <c r="L388" s="1">
        <v>112997</v>
      </c>
      <c r="M388" s="2">
        <v>7.4465829366554909E-2</v>
      </c>
      <c r="N388" s="1">
        <v>8</v>
      </c>
      <c r="O388" s="1">
        <v>17</v>
      </c>
      <c r="P388" s="1">
        <v>597</v>
      </c>
      <c r="Q388" s="1">
        <v>7196</v>
      </c>
      <c r="R388" s="1">
        <v>0</v>
      </c>
      <c r="S388" s="4">
        <v>18</v>
      </c>
      <c r="T388" s="1" t="s">
        <v>793</v>
      </c>
    </row>
    <row r="389" spans="1:20" x14ac:dyDescent="0.3">
      <c r="A389" s="3">
        <v>5481</v>
      </c>
      <c r="B389" s="1" t="s">
        <v>595</v>
      </c>
      <c r="C389" s="1" t="s">
        <v>613</v>
      </c>
      <c r="D389" s="1" t="s">
        <v>38</v>
      </c>
      <c r="E389" s="11">
        <v>45512</v>
      </c>
      <c r="F389" s="1">
        <v>53909</v>
      </c>
      <c r="G389" s="1">
        <v>1104</v>
      </c>
      <c r="H389" s="1">
        <v>4434</v>
      </c>
      <c r="I389" s="1">
        <v>112</v>
      </c>
      <c r="J389" s="1">
        <v>587</v>
      </c>
      <c r="K389" s="1">
        <v>20959</v>
      </c>
      <c r="L389" s="1">
        <v>10889</v>
      </c>
      <c r="M389" s="2">
        <v>9.5216012168654579E-2</v>
      </c>
      <c r="N389" s="1">
        <v>12</v>
      </c>
      <c r="O389" s="1">
        <v>31</v>
      </c>
      <c r="P389" s="1">
        <v>158</v>
      </c>
      <c r="Q389" s="1">
        <v>3670</v>
      </c>
      <c r="R389" s="1">
        <v>0</v>
      </c>
      <c r="S389" s="4">
        <v>11</v>
      </c>
      <c r="T389" s="1" t="s">
        <v>785</v>
      </c>
    </row>
    <row r="390" spans="1:20" x14ac:dyDescent="0.3">
      <c r="A390" s="3">
        <v>2567</v>
      </c>
      <c r="B390" s="1" t="s">
        <v>614</v>
      </c>
      <c r="C390" s="1" t="s">
        <v>615</v>
      </c>
      <c r="D390" s="1" t="s">
        <v>38</v>
      </c>
      <c r="E390" s="11">
        <v>45338</v>
      </c>
      <c r="F390" s="1">
        <v>327738</v>
      </c>
      <c r="G390" s="1">
        <v>1253</v>
      </c>
      <c r="H390" s="1">
        <v>37875</v>
      </c>
      <c r="I390" s="1">
        <v>1046</v>
      </c>
      <c r="J390" s="1">
        <v>6122</v>
      </c>
      <c r="K390" s="1">
        <v>57849</v>
      </c>
      <c r="L390" s="1">
        <v>91591</v>
      </c>
      <c r="M390" s="2">
        <v>0.13743600070788251</v>
      </c>
      <c r="N390" s="1">
        <v>20</v>
      </c>
      <c r="O390" s="1">
        <v>44</v>
      </c>
      <c r="P390" s="1">
        <v>2689</v>
      </c>
      <c r="Q390" s="1">
        <v>4865</v>
      </c>
      <c r="R390" s="1">
        <v>352</v>
      </c>
      <c r="S390" s="4">
        <v>20</v>
      </c>
      <c r="T390" s="1" t="s">
        <v>797</v>
      </c>
    </row>
    <row r="391" spans="1:20" x14ac:dyDescent="0.3">
      <c r="A391" s="3">
        <v>7618</v>
      </c>
      <c r="B391" s="1" t="s">
        <v>616</v>
      </c>
      <c r="C391" s="1" t="s">
        <v>617</v>
      </c>
      <c r="D391" s="1" t="s">
        <v>20</v>
      </c>
      <c r="E391" s="11">
        <v>45370</v>
      </c>
      <c r="F391" s="1">
        <v>143439</v>
      </c>
      <c r="G391" s="1">
        <v>230</v>
      </c>
      <c r="H391" s="1">
        <v>14421</v>
      </c>
      <c r="I391" s="1">
        <v>2169</v>
      </c>
      <c r="J391" s="1">
        <v>1213</v>
      </c>
      <c r="K391" s="1">
        <v>68441</v>
      </c>
      <c r="L391" s="1">
        <v>66434</v>
      </c>
      <c r="M391" s="2">
        <v>0.12411547765949288</v>
      </c>
      <c r="N391" s="1">
        <v>14</v>
      </c>
      <c r="O391" s="1">
        <v>0</v>
      </c>
      <c r="P391" s="1">
        <v>1118</v>
      </c>
      <c r="Q391" s="1">
        <v>11113</v>
      </c>
      <c r="R391" s="1">
        <v>214</v>
      </c>
      <c r="S391" s="4">
        <v>10</v>
      </c>
      <c r="T391" s="1" t="s">
        <v>783</v>
      </c>
    </row>
    <row r="392" spans="1:20" x14ac:dyDescent="0.3">
      <c r="A392" s="3">
        <v>3499</v>
      </c>
      <c r="B392" s="1" t="s">
        <v>61</v>
      </c>
      <c r="C392" s="1" t="s">
        <v>618</v>
      </c>
      <c r="D392" s="1" t="s">
        <v>15</v>
      </c>
      <c r="E392" s="11">
        <v>45461</v>
      </c>
      <c r="F392" s="1">
        <v>319422</v>
      </c>
      <c r="G392" s="1">
        <v>560</v>
      </c>
      <c r="H392" s="1">
        <v>39086</v>
      </c>
      <c r="I392" s="1">
        <v>3611</v>
      </c>
      <c r="J392" s="1">
        <v>3398</v>
      </c>
      <c r="K392" s="1">
        <v>117714</v>
      </c>
      <c r="L392" s="1">
        <v>264642</v>
      </c>
      <c r="M392" s="2">
        <v>0.14430753047692393</v>
      </c>
      <c r="N392" s="1">
        <v>23</v>
      </c>
      <c r="O392" s="1">
        <v>0</v>
      </c>
      <c r="P392" s="1">
        <v>3679</v>
      </c>
      <c r="Q392" s="1">
        <v>19519</v>
      </c>
      <c r="R392" s="1">
        <v>0</v>
      </c>
      <c r="S392" s="4">
        <v>11</v>
      </c>
      <c r="T392" s="1" t="s">
        <v>785</v>
      </c>
    </row>
    <row r="393" spans="1:20" x14ac:dyDescent="0.3">
      <c r="A393" s="3">
        <v>3080</v>
      </c>
      <c r="B393" s="1" t="s">
        <v>254</v>
      </c>
      <c r="C393" s="1" t="s">
        <v>619</v>
      </c>
      <c r="D393" s="1" t="s">
        <v>20</v>
      </c>
      <c r="E393" s="11">
        <v>45469</v>
      </c>
      <c r="F393" s="1">
        <v>110046</v>
      </c>
      <c r="G393" s="1">
        <v>1374</v>
      </c>
      <c r="H393" s="1">
        <v>2552</v>
      </c>
      <c r="I393" s="1">
        <v>22</v>
      </c>
      <c r="J393" s="1">
        <v>193</v>
      </c>
      <c r="K393" s="1">
        <v>9413</v>
      </c>
      <c r="L393" s="1">
        <v>15557</v>
      </c>
      <c r="M393" s="2">
        <v>2.5144030678080076E-2</v>
      </c>
      <c r="N393" s="1">
        <v>13</v>
      </c>
      <c r="O393" s="1">
        <v>0</v>
      </c>
      <c r="P393" s="1">
        <v>56</v>
      </c>
      <c r="Q393" s="1">
        <v>757</v>
      </c>
      <c r="R393" s="1">
        <v>0</v>
      </c>
      <c r="S393" s="4">
        <v>15</v>
      </c>
      <c r="T393" s="1" t="s">
        <v>789</v>
      </c>
    </row>
    <row r="394" spans="1:20" x14ac:dyDescent="0.3">
      <c r="A394" s="3">
        <v>4230</v>
      </c>
      <c r="B394" s="1" t="s">
        <v>620</v>
      </c>
      <c r="C394" s="1" t="s">
        <v>621</v>
      </c>
      <c r="D394" s="1" t="s">
        <v>15</v>
      </c>
      <c r="E394" s="11">
        <v>45329</v>
      </c>
      <c r="F394" s="1">
        <v>118641</v>
      </c>
      <c r="G394" s="1">
        <v>1840</v>
      </c>
      <c r="H394" s="1">
        <v>4857</v>
      </c>
      <c r="I394" s="1">
        <v>586</v>
      </c>
      <c r="J394" s="1">
        <v>262</v>
      </c>
      <c r="K394" s="1">
        <v>23511</v>
      </c>
      <c r="L394" s="1">
        <v>20241</v>
      </c>
      <c r="M394" s="2">
        <v>4.8086243372864358E-2</v>
      </c>
      <c r="N394" s="1">
        <v>16</v>
      </c>
      <c r="O394" s="1">
        <v>0</v>
      </c>
      <c r="P394" s="1">
        <v>283</v>
      </c>
      <c r="Q394" s="1">
        <v>1631</v>
      </c>
      <c r="R394" s="1">
        <v>161</v>
      </c>
      <c r="S394" s="4">
        <v>15</v>
      </c>
      <c r="T394" s="1" t="s">
        <v>789</v>
      </c>
    </row>
    <row r="395" spans="1:20" x14ac:dyDescent="0.3">
      <c r="A395" s="3">
        <v>7517</v>
      </c>
      <c r="B395" s="1" t="s">
        <v>519</v>
      </c>
      <c r="C395" s="1" t="s">
        <v>622</v>
      </c>
      <c r="D395" s="1" t="s">
        <v>38</v>
      </c>
      <c r="E395" s="11">
        <v>45541</v>
      </c>
      <c r="F395" s="1">
        <v>200656</v>
      </c>
      <c r="G395" s="1">
        <v>1843</v>
      </c>
      <c r="H395" s="1">
        <v>15784</v>
      </c>
      <c r="I395" s="1">
        <v>1633</v>
      </c>
      <c r="J395" s="1">
        <v>1358</v>
      </c>
      <c r="K395" s="1">
        <v>58745</v>
      </c>
      <c r="L395" s="1">
        <v>58216</v>
      </c>
      <c r="M395" s="2">
        <v>9.3568096643010926E-2</v>
      </c>
      <c r="N395" s="1">
        <v>19</v>
      </c>
      <c r="O395" s="1">
        <v>33</v>
      </c>
      <c r="P395" s="1">
        <v>699</v>
      </c>
      <c r="Q395" s="1">
        <v>9509</v>
      </c>
      <c r="R395" s="1">
        <v>0</v>
      </c>
      <c r="S395" s="4">
        <v>19</v>
      </c>
      <c r="T395" s="1" t="s">
        <v>795</v>
      </c>
    </row>
    <row r="396" spans="1:20" x14ac:dyDescent="0.3">
      <c r="A396" s="3">
        <v>6567</v>
      </c>
      <c r="B396" s="1" t="s">
        <v>35</v>
      </c>
      <c r="C396" s="1" t="s">
        <v>623</v>
      </c>
      <c r="D396" s="1" t="s">
        <v>20</v>
      </c>
      <c r="E396" s="11">
        <v>45317</v>
      </c>
      <c r="F396" s="1">
        <v>480225</v>
      </c>
      <c r="G396" s="1">
        <v>1975</v>
      </c>
      <c r="H396" s="1">
        <v>50820</v>
      </c>
      <c r="I396" s="1">
        <v>2856</v>
      </c>
      <c r="J396" s="1">
        <v>10660</v>
      </c>
      <c r="K396" s="1">
        <v>101438</v>
      </c>
      <c r="L396" s="1">
        <v>178821</v>
      </c>
      <c r="M396" s="2">
        <v>0.13397053464521838</v>
      </c>
      <c r="N396" s="1">
        <v>4</v>
      </c>
      <c r="O396" s="1">
        <v>0</v>
      </c>
      <c r="P396" s="1">
        <v>2467</v>
      </c>
      <c r="Q396" s="1">
        <v>20075</v>
      </c>
      <c r="R396" s="1">
        <v>718</v>
      </c>
      <c r="S396" s="4">
        <v>14</v>
      </c>
      <c r="T396" s="1" t="s">
        <v>788</v>
      </c>
    </row>
    <row r="397" spans="1:20" x14ac:dyDescent="0.3">
      <c r="A397" s="3">
        <v>8992</v>
      </c>
      <c r="B397" s="1" t="s">
        <v>624</v>
      </c>
      <c r="C397" s="1" t="s">
        <v>625</v>
      </c>
      <c r="D397" s="1" t="s">
        <v>15</v>
      </c>
      <c r="E397" s="11">
        <v>45620</v>
      </c>
      <c r="F397" s="1">
        <v>249457</v>
      </c>
      <c r="G397" s="1">
        <v>527</v>
      </c>
      <c r="H397" s="1">
        <v>14321</v>
      </c>
      <c r="I397" s="1">
        <v>2393</v>
      </c>
      <c r="J397" s="1">
        <v>2007</v>
      </c>
      <c r="K397" s="1">
        <v>46881</v>
      </c>
      <c r="L397" s="1">
        <v>83942</v>
      </c>
      <c r="M397" s="2">
        <v>7.5047002088536305E-2</v>
      </c>
      <c r="N397" s="1">
        <v>19</v>
      </c>
      <c r="O397" s="1">
        <v>0</v>
      </c>
      <c r="P397" s="1">
        <v>1057</v>
      </c>
      <c r="Q397" s="1">
        <v>2735</v>
      </c>
      <c r="R397" s="1">
        <v>36</v>
      </c>
      <c r="S397" s="4">
        <v>13</v>
      </c>
      <c r="T397" s="1" t="s">
        <v>782</v>
      </c>
    </row>
    <row r="398" spans="1:20" x14ac:dyDescent="0.3">
      <c r="A398" s="3">
        <v>8382</v>
      </c>
      <c r="B398" s="1" t="s">
        <v>219</v>
      </c>
      <c r="C398" s="1" t="s">
        <v>626</v>
      </c>
      <c r="D398" s="1" t="s">
        <v>20</v>
      </c>
      <c r="E398" s="11">
        <v>45607</v>
      </c>
      <c r="F398" s="1">
        <v>464026</v>
      </c>
      <c r="G398" s="1">
        <v>747</v>
      </c>
      <c r="H398" s="1">
        <v>9977</v>
      </c>
      <c r="I398" s="1">
        <v>232</v>
      </c>
      <c r="J398" s="1">
        <v>1333</v>
      </c>
      <c r="K398" s="1">
        <v>17894</v>
      </c>
      <c r="L398" s="1">
        <v>28091</v>
      </c>
      <c r="M398" s="2">
        <v>2.4873606220341102E-2</v>
      </c>
      <c r="N398" s="1">
        <v>7</v>
      </c>
      <c r="O398" s="1">
        <v>0</v>
      </c>
      <c r="P398" s="1">
        <v>354</v>
      </c>
      <c r="Q398" s="1">
        <v>1948</v>
      </c>
      <c r="R398" s="1">
        <v>126</v>
      </c>
      <c r="S398" s="4">
        <v>8</v>
      </c>
      <c r="T398" s="1" t="s">
        <v>796</v>
      </c>
    </row>
    <row r="399" spans="1:20" x14ac:dyDescent="0.3">
      <c r="A399" s="3">
        <v>3208</v>
      </c>
      <c r="B399" s="1" t="s">
        <v>597</v>
      </c>
      <c r="C399" s="1" t="s">
        <v>627</v>
      </c>
      <c r="D399" s="1" t="s">
        <v>38</v>
      </c>
      <c r="E399" s="11">
        <v>45396</v>
      </c>
      <c r="F399" s="1">
        <v>177118</v>
      </c>
      <c r="G399" s="1">
        <v>1643</v>
      </c>
      <c r="H399" s="1">
        <v>14016</v>
      </c>
      <c r="I399" s="1">
        <v>659</v>
      </c>
      <c r="J399" s="1">
        <v>1263</v>
      </c>
      <c r="K399" s="1">
        <v>65350</v>
      </c>
      <c r="L399" s="1">
        <v>32944</v>
      </c>
      <c r="M399" s="2">
        <v>8.9985207601711859E-2</v>
      </c>
      <c r="N399" s="1">
        <v>16</v>
      </c>
      <c r="O399" s="1">
        <v>39</v>
      </c>
      <c r="P399" s="1">
        <v>958</v>
      </c>
      <c r="Q399" s="1">
        <v>5011</v>
      </c>
      <c r="R399" s="1">
        <v>283</v>
      </c>
      <c r="S399" s="4">
        <v>10</v>
      </c>
      <c r="T399" s="1" t="s">
        <v>783</v>
      </c>
    </row>
    <row r="400" spans="1:20" x14ac:dyDescent="0.3">
      <c r="A400" s="3">
        <v>9504</v>
      </c>
      <c r="B400" s="1" t="s">
        <v>531</v>
      </c>
      <c r="C400" s="1" t="s">
        <v>628</v>
      </c>
      <c r="D400" s="1" t="s">
        <v>15</v>
      </c>
      <c r="E400" s="11">
        <v>45576</v>
      </c>
      <c r="F400" s="1">
        <v>339482</v>
      </c>
      <c r="G400" s="1">
        <v>1804</v>
      </c>
      <c r="H400" s="1">
        <v>19201</v>
      </c>
      <c r="I400" s="1">
        <v>23</v>
      </c>
      <c r="J400" s="1">
        <v>71</v>
      </c>
      <c r="K400" s="1">
        <v>86481</v>
      </c>
      <c r="L400" s="1">
        <v>141692</v>
      </c>
      <c r="M400" s="2">
        <v>5.6836592219911511E-2</v>
      </c>
      <c r="N400" s="1">
        <v>23</v>
      </c>
      <c r="O400" s="1">
        <v>0</v>
      </c>
      <c r="P400" s="1">
        <v>863</v>
      </c>
      <c r="Q400" s="1">
        <v>9062</v>
      </c>
      <c r="R400" s="1">
        <v>325</v>
      </c>
      <c r="S400" s="4">
        <v>13</v>
      </c>
      <c r="T400" s="1" t="s">
        <v>782</v>
      </c>
    </row>
    <row r="401" spans="1:20" x14ac:dyDescent="0.3">
      <c r="A401" s="3">
        <v>6360</v>
      </c>
      <c r="B401" s="1" t="s">
        <v>416</v>
      </c>
      <c r="C401" s="1" t="s">
        <v>629</v>
      </c>
      <c r="D401" s="1" t="s">
        <v>20</v>
      </c>
      <c r="E401" s="11">
        <v>45500</v>
      </c>
      <c r="F401" s="1">
        <v>137540</v>
      </c>
      <c r="G401" s="1">
        <v>1451</v>
      </c>
      <c r="H401" s="1">
        <v>18280</v>
      </c>
      <c r="I401" s="1">
        <v>3120</v>
      </c>
      <c r="J401" s="1">
        <v>4677</v>
      </c>
      <c r="K401" s="1">
        <v>64552</v>
      </c>
      <c r="L401" s="1">
        <v>122124</v>
      </c>
      <c r="M401" s="2">
        <v>0.18959575396248365</v>
      </c>
      <c r="N401" s="1">
        <v>5</v>
      </c>
      <c r="O401" s="1">
        <v>0</v>
      </c>
      <c r="P401" s="1">
        <v>600</v>
      </c>
      <c r="Q401" s="1">
        <v>5169</v>
      </c>
      <c r="R401" s="1">
        <v>415</v>
      </c>
      <c r="S401" s="4">
        <v>13</v>
      </c>
      <c r="T401" s="1" t="s">
        <v>782</v>
      </c>
    </row>
    <row r="402" spans="1:20" x14ac:dyDescent="0.3">
      <c r="A402" s="3">
        <v>2558</v>
      </c>
      <c r="B402" s="1" t="s">
        <v>538</v>
      </c>
      <c r="C402" s="1" t="s">
        <v>630</v>
      </c>
      <c r="D402" s="1" t="s">
        <v>15</v>
      </c>
      <c r="E402" s="11">
        <v>45523</v>
      </c>
      <c r="F402" s="1">
        <v>360315</v>
      </c>
      <c r="G402" s="1">
        <v>746</v>
      </c>
      <c r="H402" s="1">
        <v>47295</v>
      </c>
      <c r="I402" s="1">
        <v>6322</v>
      </c>
      <c r="J402" s="1">
        <v>4635</v>
      </c>
      <c r="K402" s="1">
        <v>103821</v>
      </c>
      <c r="L402" s="1">
        <v>371315</v>
      </c>
      <c r="M402" s="2">
        <v>0.1616696501672148</v>
      </c>
      <c r="N402" s="1">
        <v>6</v>
      </c>
      <c r="O402" s="1">
        <v>0</v>
      </c>
      <c r="P402" s="1">
        <v>3400</v>
      </c>
      <c r="Q402" s="1">
        <v>19169</v>
      </c>
      <c r="R402" s="1">
        <v>800</v>
      </c>
      <c r="S402" s="4">
        <v>14</v>
      </c>
      <c r="T402" s="1" t="s">
        <v>788</v>
      </c>
    </row>
    <row r="403" spans="1:20" x14ac:dyDescent="0.3">
      <c r="A403" s="3">
        <v>1274</v>
      </c>
      <c r="B403" s="1" t="s">
        <v>21</v>
      </c>
      <c r="C403" s="1" t="s">
        <v>631</v>
      </c>
      <c r="D403" s="1" t="s">
        <v>38</v>
      </c>
      <c r="E403" s="11">
        <v>45400</v>
      </c>
      <c r="F403" s="1">
        <v>322369</v>
      </c>
      <c r="G403" s="1">
        <v>1495</v>
      </c>
      <c r="H403" s="1">
        <v>47048</v>
      </c>
      <c r="I403" s="1">
        <v>1570</v>
      </c>
      <c r="J403" s="1">
        <v>10895</v>
      </c>
      <c r="K403" s="1">
        <v>105578</v>
      </c>
      <c r="L403" s="1">
        <v>328044</v>
      </c>
      <c r="M403" s="2">
        <v>0.18461142355499444</v>
      </c>
      <c r="N403" s="1">
        <v>4</v>
      </c>
      <c r="O403" s="1">
        <v>41</v>
      </c>
      <c r="P403" s="1">
        <v>1700</v>
      </c>
      <c r="Q403" s="1">
        <v>17604</v>
      </c>
      <c r="R403" s="1">
        <v>0</v>
      </c>
      <c r="S403" s="4">
        <v>22</v>
      </c>
      <c r="T403" s="1" t="s">
        <v>784</v>
      </c>
    </row>
    <row r="404" spans="1:20" x14ac:dyDescent="0.3">
      <c r="A404" s="3">
        <v>5871</v>
      </c>
      <c r="B404" s="1" t="s">
        <v>51</v>
      </c>
      <c r="C404" s="1" t="s">
        <v>632</v>
      </c>
      <c r="D404" s="1" t="s">
        <v>38</v>
      </c>
      <c r="E404" s="11">
        <v>45512</v>
      </c>
      <c r="F404" s="1">
        <v>153643</v>
      </c>
      <c r="G404" s="1">
        <v>1185</v>
      </c>
      <c r="H404" s="1">
        <v>14017</v>
      </c>
      <c r="I404" s="1">
        <v>825</v>
      </c>
      <c r="J404" s="1">
        <v>4132</v>
      </c>
      <c r="K404" s="1">
        <v>43576</v>
      </c>
      <c r="L404" s="1">
        <v>98226</v>
      </c>
      <c r="M404" s="2">
        <v>0.12349407392461746</v>
      </c>
      <c r="N404" s="1">
        <v>5</v>
      </c>
      <c r="O404" s="1">
        <v>30</v>
      </c>
      <c r="P404" s="1">
        <v>859</v>
      </c>
      <c r="Q404" s="1">
        <v>7884</v>
      </c>
      <c r="R404" s="1">
        <v>0</v>
      </c>
      <c r="S404" s="4">
        <v>14</v>
      </c>
      <c r="T404" s="1" t="s">
        <v>788</v>
      </c>
    </row>
    <row r="405" spans="1:20" x14ac:dyDescent="0.3">
      <c r="A405" s="3">
        <v>1554</v>
      </c>
      <c r="B405" s="1" t="s">
        <v>481</v>
      </c>
      <c r="C405" s="1" t="s">
        <v>633</v>
      </c>
      <c r="D405" s="1" t="s">
        <v>15</v>
      </c>
      <c r="E405" s="11">
        <v>45624</v>
      </c>
      <c r="F405" s="1">
        <v>257386</v>
      </c>
      <c r="G405" s="1">
        <v>1161</v>
      </c>
      <c r="H405" s="1">
        <v>2723</v>
      </c>
      <c r="I405" s="1">
        <v>293</v>
      </c>
      <c r="J405" s="1">
        <v>540</v>
      </c>
      <c r="K405" s="1">
        <v>7413</v>
      </c>
      <c r="L405" s="1">
        <v>9354</v>
      </c>
      <c r="M405" s="2">
        <v>1.3815825258561072E-2</v>
      </c>
      <c r="N405" s="1">
        <v>7</v>
      </c>
      <c r="O405" s="1">
        <v>0</v>
      </c>
      <c r="P405" s="1">
        <v>134</v>
      </c>
      <c r="Q405" s="1">
        <v>880</v>
      </c>
      <c r="R405" s="1">
        <v>0</v>
      </c>
      <c r="S405" s="4">
        <v>17</v>
      </c>
      <c r="T405" s="1" t="s">
        <v>791</v>
      </c>
    </row>
    <row r="406" spans="1:20" x14ac:dyDescent="0.3">
      <c r="A406" s="3">
        <v>7063</v>
      </c>
      <c r="B406" s="1" t="s">
        <v>297</v>
      </c>
      <c r="C406" s="1" t="s">
        <v>634</v>
      </c>
      <c r="D406" s="1" t="s">
        <v>15</v>
      </c>
      <c r="E406" s="11">
        <v>45299</v>
      </c>
      <c r="F406" s="1">
        <v>306420</v>
      </c>
      <c r="G406" s="1">
        <v>1540</v>
      </c>
      <c r="H406" s="1">
        <v>8013</v>
      </c>
      <c r="I406" s="1">
        <v>221</v>
      </c>
      <c r="J406" s="1">
        <v>2275</v>
      </c>
      <c r="K406" s="1">
        <v>23779</v>
      </c>
      <c r="L406" s="1">
        <v>63421</v>
      </c>
      <c r="M406" s="2">
        <v>3.4296064225572742E-2</v>
      </c>
      <c r="N406" s="1">
        <v>8</v>
      </c>
      <c r="O406" s="1">
        <v>0</v>
      </c>
      <c r="P406" s="1">
        <v>255</v>
      </c>
      <c r="Q406" s="1">
        <v>3380</v>
      </c>
      <c r="R406" s="1">
        <v>92</v>
      </c>
      <c r="S406" s="4">
        <v>8</v>
      </c>
      <c r="T406" s="1" t="s">
        <v>796</v>
      </c>
    </row>
    <row r="407" spans="1:20" x14ac:dyDescent="0.3">
      <c r="A407" s="3">
        <v>2171</v>
      </c>
      <c r="B407" s="1" t="s">
        <v>635</v>
      </c>
      <c r="C407" s="1" t="s">
        <v>636</v>
      </c>
      <c r="D407" s="1" t="s">
        <v>38</v>
      </c>
      <c r="E407" s="11">
        <v>45354</v>
      </c>
      <c r="F407" s="1">
        <v>397905</v>
      </c>
      <c r="G407" s="1">
        <v>1593</v>
      </c>
      <c r="H407" s="1">
        <v>40105</v>
      </c>
      <c r="I407" s="1">
        <v>1557</v>
      </c>
      <c r="J407" s="1">
        <v>7584</v>
      </c>
      <c r="K407" s="1">
        <v>86976</v>
      </c>
      <c r="L407" s="1">
        <v>280697</v>
      </c>
      <c r="M407" s="2">
        <v>0.12376320981138714</v>
      </c>
      <c r="N407" s="1">
        <v>9</v>
      </c>
      <c r="O407" s="1">
        <v>43</v>
      </c>
      <c r="P407" s="1">
        <v>3642</v>
      </c>
      <c r="Q407" s="1">
        <v>8532</v>
      </c>
      <c r="R407" s="1">
        <v>585</v>
      </c>
      <c r="S407" s="4">
        <v>20</v>
      </c>
      <c r="T407" s="1" t="s">
        <v>797</v>
      </c>
    </row>
    <row r="408" spans="1:20" x14ac:dyDescent="0.3">
      <c r="A408" s="3">
        <v>3459</v>
      </c>
      <c r="B408" s="1" t="s">
        <v>263</v>
      </c>
      <c r="C408" s="1" t="s">
        <v>637</v>
      </c>
      <c r="D408" s="1" t="s">
        <v>15</v>
      </c>
      <c r="E408" s="11">
        <v>45345</v>
      </c>
      <c r="F408" s="1">
        <v>118969</v>
      </c>
      <c r="G408" s="1">
        <v>1002</v>
      </c>
      <c r="H408" s="1">
        <v>14540</v>
      </c>
      <c r="I408" s="1">
        <v>2675</v>
      </c>
      <c r="J408" s="1">
        <v>4175</v>
      </c>
      <c r="K408" s="1">
        <v>61028</v>
      </c>
      <c r="L408" s="1">
        <v>50368</v>
      </c>
      <c r="M408" s="2">
        <v>0.17979473644394758</v>
      </c>
      <c r="N408" s="1">
        <v>12</v>
      </c>
      <c r="O408" s="1">
        <v>0</v>
      </c>
      <c r="P408" s="1">
        <v>1447</v>
      </c>
      <c r="Q408" s="1">
        <v>10179</v>
      </c>
      <c r="R408" s="1">
        <v>593</v>
      </c>
      <c r="S408" s="4">
        <v>12</v>
      </c>
      <c r="T408" s="1" t="s">
        <v>787</v>
      </c>
    </row>
    <row r="409" spans="1:20" x14ac:dyDescent="0.3">
      <c r="A409" s="3">
        <v>7243</v>
      </c>
      <c r="B409" s="1" t="s">
        <v>440</v>
      </c>
      <c r="C409" s="1" t="s">
        <v>638</v>
      </c>
      <c r="D409" s="1" t="s">
        <v>38</v>
      </c>
      <c r="E409" s="11">
        <v>45519</v>
      </c>
      <c r="F409" s="1">
        <v>237534</v>
      </c>
      <c r="G409" s="1">
        <v>1146</v>
      </c>
      <c r="H409" s="1">
        <v>5888</v>
      </c>
      <c r="I409" s="1">
        <v>146</v>
      </c>
      <c r="J409" s="1">
        <v>533</v>
      </c>
      <c r="K409" s="1">
        <v>7188</v>
      </c>
      <c r="L409" s="1">
        <v>31117</v>
      </c>
      <c r="M409" s="2">
        <v>2.764656849124757E-2</v>
      </c>
      <c r="N409" s="1">
        <v>18</v>
      </c>
      <c r="O409" s="1">
        <v>22</v>
      </c>
      <c r="P409" s="1">
        <v>327</v>
      </c>
      <c r="Q409" s="1">
        <v>881</v>
      </c>
      <c r="R409" s="1">
        <v>76</v>
      </c>
      <c r="S409" s="4">
        <v>10</v>
      </c>
      <c r="T409" s="1" t="s">
        <v>783</v>
      </c>
    </row>
    <row r="410" spans="1:20" x14ac:dyDescent="0.3">
      <c r="A410" s="3">
        <v>6891</v>
      </c>
      <c r="B410" s="1" t="s">
        <v>312</v>
      </c>
      <c r="C410" s="1" t="s">
        <v>639</v>
      </c>
      <c r="D410" s="1" t="s">
        <v>15</v>
      </c>
      <c r="E410" s="11">
        <v>45649</v>
      </c>
      <c r="F410" s="1">
        <v>181714</v>
      </c>
      <c r="G410" s="1">
        <v>1479</v>
      </c>
      <c r="H410" s="1">
        <v>20436</v>
      </c>
      <c r="I410" s="1">
        <v>575</v>
      </c>
      <c r="J410" s="1">
        <v>4368</v>
      </c>
      <c r="K410" s="1">
        <v>47062</v>
      </c>
      <c r="L410" s="1">
        <v>59877</v>
      </c>
      <c r="M410" s="2">
        <v>0.13966452777441474</v>
      </c>
      <c r="N410" s="1">
        <v>20</v>
      </c>
      <c r="O410" s="1">
        <v>0</v>
      </c>
      <c r="P410" s="1">
        <v>1361</v>
      </c>
      <c r="Q410" s="1">
        <v>3939</v>
      </c>
      <c r="R410" s="1">
        <v>0</v>
      </c>
      <c r="S410" s="4">
        <v>13</v>
      </c>
      <c r="T410" s="1" t="s">
        <v>782</v>
      </c>
    </row>
    <row r="411" spans="1:20" x14ac:dyDescent="0.3">
      <c r="A411" s="3">
        <v>3995</v>
      </c>
      <c r="B411" s="1" t="s">
        <v>172</v>
      </c>
      <c r="C411" s="1" t="s">
        <v>640</v>
      </c>
      <c r="D411" s="1" t="s">
        <v>20</v>
      </c>
      <c r="E411" s="11">
        <v>45645</v>
      </c>
      <c r="F411" s="1">
        <v>45494</v>
      </c>
      <c r="G411" s="1">
        <v>1085</v>
      </c>
      <c r="H411" s="1">
        <v>3592</v>
      </c>
      <c r="I411" s="1">
        <v>184</v>
      </c>
      <c r="J411" s="1">
        <v>1028</v>
      </c>
      <c r="K411" s="1">
        <v>10903</v>
      </c>
      <c r="L411" s="1">
        <v>16655</v>
      </c>
      <c r="M411" s="2">
        <v>0.10559634237481866</v>
      </c>
      <c r="N411" s="1">
        <v>13</v>
      </c>
      <c r="O411" s="1">
        <v>0</v>
      </c>
      <c r="P411" s="1">
        <v>148</v>
      </c>
      <c r="Q411" s="1">
        <v>1226</v>
      </c>
      <c r="R411" s="1">
        <v>63</v>
      </c>
      <c r="S411" s="4">
        <v>10</v>
      </c>
      <c r="T411" s="1" t="s">
        <v>783</v>
      </c>
    </row>
    <row r="412" spans="1:20" x14ac:dyDescent="0.3">
      <c r="A412" s="3">
        <v>3063</v>
      </c>
      <c r="B412" s="1" t="s">
        <v>128</v>
      </c>
      <c r="C412" s="1" t="s">
        <v>641</v>
      </c>
      <c r="D412" s="1" t="s">
        <v>20</v>
      </c>
      <c r="E412" s="11">
        <v>45311</v>
      </c>
      <c r="F412" s="1">
        <v>431157</v>
      </c>
      <c r="G412" s="1">
        <v>1651</v>
      </c>
      <c r="H412" s="1">
        <v>37563</v>
      </c>
      <c r="I412" s="1">
        <v>483</v>
      </c>
      <c r="J412" s="1">
        <v>1499</v>
      </c>
      <c r="K412" s="1">
        <v>40649</v>
      </c>
      <c r="L412" s="1">
        <v>150502</v>
      </c>
      <c r="M412" s="2">
        <v>9.1718329981885949E-2</v>
      </c>
      <c r="N412" s="1">
        <v>4</v>
      </c>
      <c r="O412" s="1">
        <v>0</v>
      </c>
      <c r="P412" s="1">
        <v>1999</v>
      </c>
      <c r="Q412" s="1">
        <v>2117</v>
      </c>
      <c r="R412" s="1">
        <v>0</v>
      </c>
      <c r="S412" s="4">
        <v>10</v>
      </c>
      <c r="T412" s="1" t="s">
        <v>783</v>
      </c>
    </row>
    <row r="413" spans="1:20" x14ac:dyDescent="0.3">
      <c r="A413" s="3">
        <v>8909</v>
      </c>
      <c r="B413" s="1" t="s">
        <v>642</v>
      </c>
      <c r="C413" s="1" t="s">
        <v>643</v>
      </c>
      <c r="D413" s="1" t="s">
        <v>38</v>
      </c>
      <c r="E413" s="11">
        <v>45370</v>
      </c>
      <c r="F413" s="1">
        <v>266542</v>
      </c>
      <c r="G413" s="1">
        <v>1846</v>
      </c>
      <c r="H413" s="1">
        <v>31242</v>
      </c>
      <c r="I413" s="1">
        <v>4445</v>
      </c>
      <c r="J413" s="1">
        <v>4591</v>
      </c>
      <c r="K413" s="1">
        <v>144043</v>
      </c>
      <c r="L413" s="1">
        <v>83343</v>
      </c>
      <c r="M413" s="2">
        <v>0.15111314539547238</v>
      </c>
      <c r="N413" s="1">
        <v>3</v>
      </c>
      <c r="O413" s="1">
        <v>15</v>
      </c>
      <c r="P413" s="1">
        <v>1986</v>
      </c>
      <c r="Q413" s="1">
        <v>14899</v>
      </c>
      <c r="R413" s="1">
        <v>752</v>
      </c>
      <c r="S413" s="4">
        <v>20</v>
      </c>
      <c r="T413" s="1" t="s">
        <v>797</v>
      </c>
    </row>
    <row r="414" spans="1:20" x14ac:dyDescent="0.3">
      <c r="A414" s="3">
        <v>1250</v>
      </c>
      <c r="B414" s="1" t="s">
        <v>141</v>
      </c>
      <c r="C414" s="1" t="s">
        <v>644</v>
      </c>
      <c r="D414" s="1" t="s">
        <v>20</v>
      </c>
      <c r="E414" s="11">
        <v>45475</v>
      </c>
      <c r="F414" s="1">
        <v>295496</v>
      </c>
      <c r="G414" s="1">
        <v>1103</v>
      </c>
      <c r="H414" s="1">
        <v>40513</v>
      </c>
      <c r="I414" s="1">
        <v>6027</v>
      </c>
      <c r="J414" s="1">
        <v>4314</v>
      </c>
      <c r="K414" s="1">
        <v>145587</v>
      </c>
      <c r="L414" s="1">
        <v>322764</v>
      </c>
      <c r="M414" s="2">
        <v>0.17209708422449035</v>
      </c>
      <c r="N414" s="1">
        <v>25</v>
      </c>
      <c r="O414" s="1">
        <v>0</v>
      </c>
      <c r="P414" s="1">
        <v>1210</v>
      </c>
      <c r="Q414" s="1">
        <v>13731</v>
      </c>
      <c r="R414" s="1">
        <v>899</v>
      </c>
      <c r="S414" s="4">
        <v>11</v>
      </c>
      <c r="T414" s="1" t="s">
        <v>785</v>
      </c>
    </row>
    <row r="415" spans="1:20" x14ac:dyDescent="0.3">
      <c r="A415" s="3">
        <v>5816</v>
      </c>
      <c r="B415" s="1" t="s">
        <v>280</v>
      </c>
      <c r="C415" s="1" t="s">
        <v>645</v>
      </c>
      <c r="D415" s="1" t="s">
        <v>20</v>
      </c>
      <c r="E415" s="11">
        <v>45653</v>
      </c>
      <c r="F415" s="1">
        <v>404762</v>
      </c>
      <c r="G415" s="1">
        <v>1958</v>
      </c>
      <c r="H415" s="1">
        <v>28020</v>
      </c>
      <c r="I415" s="1">
        <v>494</v>
      </c>
      <c r="J415" s="1">
        <v>547</v>
      </c>
      <c r="K415" s="1">
        <v>120351</v>
      </c>
      <c r="L415" s="1">
        <v>148206</v>
      </c>
      <c r="M415" s="2">
        <v>7.1797747812294629E-2</v>
      </c>
      <c r="N415" s="1">
        <v>6</v>
      </c>
      <c r="O415" s="1">
        <v>0</v>
      </c>
      <c r="P415" s="1">
        <v>2145</v>
      </c>
      <c r="Q415" s="1">
        <v>17830</v>
      </c>
      <c r="R415" s="1">
        <v>1648</v>
      </c>
      <c r="S415" s="4">
        <v>10</v>
      </c>
      <c r="T415" s="1" t="s">
        <v>783</v>
      </c>
    </row>
    <row r="416" spans="1:20" x14ac:dyDescent="0.3">
      <c r="A416" s="3">
        <v>6488</v>
      </c>
      <c r="B416" s="1" t="s">
        <v>406</v>
      </c>
      <c r="C416" s="1" t="s">
        <v>646</v>
      </c>
      <c r="D416" s="1" t="s">
        <v>38</v>
      </c>
      <c r="E416" s="11">
        <v>45624</v>
      </c>
      <c r="F416" s="1">
        <v>340611</v>
      </c>
      <c r="G416" s="1">
        <v>1803</v>
      </c>
      <c r="H416" s="1">
        <v>272</v>
      </c>
      <c r="I416" s="1">
        <v>31</v>
      </c>
      <c r="J416" s="1">
        <v>11</v>
      </c>
      <c r="K416" s="1">
        <v>1026</v>
      </c>
      <c r="L416" s="1">
        <v>1846</v>
      </c>
      <c r="M416" s="2">
        <v>9.2187275220119143E-4</v>
      </c>
      <c r="N416" s="1">
        <v>11</v>
      </c>
      <c r="O416" s="1">
        <v>3</v>
      </c>
      <c r="P416" s="1">
        <v>18</v>
      </c>
      <c r="Q416" s="1">
        <v>179</v>
      </c>
      <c r="R416" s="1">
        <v>0</v>
      </c>
      <c r="S416" s="4">
        <v>18</v>
      </c>
      <c r="T416" s="1" t="s">
        <v>793</v>
      </c>
    </row>
    <row r="417" spans="1:20" x14ac:dyDescent="0.3">
      <c r="A417" s="3">
        <v>9776</v>
      </c>
      <c r="B417" s="1" t="s">
        <v>55</v>
      </c>
      <c r="C417" s="1" t="s">
        <v>647</v>
      </c>
      <c r="D417" s="1" t="s">
        <v>38</v>
      </c>
      <c r="E417" s="11">
        <v>45528</v>
      </c>
      <c r="F417" s="1">
        <v>416031</v>
      </c>
      <c r="G417" s="1">
        <v>611</v>
      </c>
      <c r="H417" s="1">
        <v>58129</v>
      </c>
      <c r="I417" s="1">
        <v>6312</v>
      </c>
      <c r="J417" s="1">
        <v>15583</v>
      </c>
      <c r="K417" s="1">
        <v>222788</v>
      </c>
      <c r="L417" s="1">
        <v>117250</v>
      </c>
      <c r="M417" s="2">
        <v>0.1923510507630441</v>
      </c>
      <c r="N417" s="1">
        <v>15</v>
      </c>
      <c r="O417" s="1">
        <v>32</v>
      </c>
      <c r="P417" s="1">
        <v>3054</v>
      </c>
      <c r="Q417" s="1">
        <v>20349</v>
      </c>
      <c r="R417" s="1">
        <v>709</v>
      </c>
      <c r="S417" s="4">
        <v>6</v>
      </c>
      <c r="T417" s="1" t="s">
        <v>792</v>
      </c>
    </row>
    <row r="418" spans="1:20" x14ac:dyDescent="0.3">
      <c r="A418" s="3">
        <v>1099</v>
      </c>
      <c r="B418" s="1" t="s">
        <v>390</v>
      </c>
      <c r="C418" s="1" t="s">
        <v>648</v>
      </c>
      <c r="D418" s="1" t="s">
        <v>38</v>
      </c>
      <c r="E418" s="11">
        <v>45476</v>
      </c>
      <c r="F418" s="1">
        <v>209838</v>
      </c>
      <c r="G418" s="1">
        <v>527</v>
      </c>
      <c r="H418" s="1">
        <v>23370</v>
      </c>
      <c r="I418" s="1">
        <v>882</v>
      </c>
      <c r="J418" s="1">
        <v>4039</v>
      </c>
      <c r="K418" s="1">
        <v>71208</v>
      </c>
      <c r="L418" s="1">
        <v>74213</v>
      </c>
      <c r="M418" s="2">
        <v>0.13482305397497116</v>
      </c>
      <c r="N418" s="1">
        <v>21</v>
      </c>
      <c r="O418" s="1">
        <v>14</v>
      </c>
      <c r="P418" s="1">
        <v>2206</v>
      </c>
      <c r="Q418" s="1">
        <v>12985</v>
      </c>
      <c r="R418" s="1">
        <v>643</v>
      </c>
      <c r="S418" s="4">
        <v>16</v>
      </c>
      <c r="T418" s="1" t="s">
        <v>790</v>
      </c>
    </row>
    <row r="419" spans="1:20" x14ac:dyDescent="0.3">
      <c r="A419" s="3">
        <v>1666</v>
      </c>
      <c r="B419" s="1" t="s">
        <v>649</v>
      </c>
      <c r="C419" s="1" t="s">
        <v>650</v>
      </c>
      <c r="D419" s="1" t="s">
        <v>20</v>
      </c>
      <c r="E419" s="11">
        <v>45473</v>
      </c>
      <c r="F419" s="1">
        <v>347616</v>
      </c>
      <c r="G419" s="1">
        <v>1090</v>
      </c>
      <c r="H419" s="1">
        <v>44542</v>
      </c>
      <c r="I419" s="1">
        <v>6002</v>
      </c>
      <c r="J419" s="1">
        <v>2650</v>
      </c>
      <c r="K419" s="1">
        <v>105316</v>
      </c>
      <c r="L419" s="1">
        <v>277747</v>
      </c>
      <c r="M419" s="2">
        <v>0.15302517720703304</v>
      </c>
      <c r="N419" s="1">
        <v>16</v>
      </c>
      <c r="O419" s="1">
        <v>0</v>
      </c>
      <c r="P419" s="1">
        <v>1013</v>
      </c>
      <c r="Q419" s="1">
        <v>9691</v>
      </c>
      <c r="R419" s="1">
        <v>853</v>
      </c>
      <c r="S419" s="4">
        <v>15</v>
      </c>
      <c r="T419" s="1" t="s">
        <v>789</v>
      </c>
    </row>
    <row r="420" spans="1:20" x14ac:dyDescent="0.3">
      <c r="A420" s="3">
        <v>8345</v>
      </c>
      <c r="B420" s="1" t="s">
        <v>149</v>
      </c>
      <c r="C420" s="1" t="s">
        <v>651</v>
      </c>
      <c r="D420" s="1" t="s">
        <v>20</v>
      </c>
      <c r="E420" s="11">
        <v>45478</v>
      </c>
      <c r="F420" s="1">
        <v>208797</v>
      </c>
      <c r="G420" s="1">
        <v>643</v>
      </c>
      <c r="H420" s="1">
        <v>8391</v>
      </c>
      <c r="I420" s="1">
        <v>1263</v>
      </c>
      <c r="J420" s="1">
        <v>2207</v>
      </c>
      <c r="K420" s="1">
        <v>29637</v>
      </c>
      <c r="L420" s="1">
        <v>19245</v>
      </c>
      <c r="M420" s="2">
        <v>5.6806371739057553E-2</v>
      </c>
      <c r="N420" s="1">
        <v>24</v>
      </c>
      <c r="O420" s="1">
        <v>0</v>
      </c>
      <c r="P420" s="1">
        <v>784</v>
      </c>
      <c r="Q420" s="1">
        <v>2495</v>
      </c>
      <c r="R420" s="1">
        <v>134</v>
      </c>
      <c r="S420" s="4">
        <v>11</v>
      </c>
      <c r="T420" s="1" t="s">
        <v>785</v>
      </c>
    </row>
    <row r="421" spans="1:20" x14ac:dyDescent="0.3">
      <c r="A421" s="3">
        <v>6930</v>
      </c>
      <c r="B421" s="1" t="s">
        <v>577</v>
      </c>
      <c r="C421" s="1" t="s">
        <v>652</v>
      </c>
      <c r="D421" s="1" t="s">
        <v>20</v>
      </c>
      <c r="E421" s="11">
        <v>45555</v>
      </c>
      <c r="F421" s="1">
        <v>28883</v>
      </c>
      <c r="G421" s="1">
        <v>1182</v>
      </c>
      <c r="H421" s="1">
        <v>2419</v>
      </c>
      <c r="I421" s="1">
        <v>294</v>
      </c>
      <c r="J421" s="1">
        <v>124</v>
      </c>
      <c r="K421" s="1">
        <v>11535</v>
      </c>
      <c r="L421" s="1">
        <v>8191</v>
      </c>
      <c r="M421" s="2">
        <v>9.8223868711698928E-2</v>
      </c>
      <c r="N421" s="1">
        <v>5</v>
      </c>
      <c r="O421" s="1">
        <v>0</v>
      </c>
      <c r="P421" s="1">
        <v>117</v>
      </c>
      <c r="Q421" s="1">
        <v>1481</v>
      </c>
      <c r="R421" s="1">
        <v>80</v>
      </c>
      <c r="S421" s="4">
        <v>13</v>
      </c>
      <c r="T421" s="1" t="s">
        <v>782</v>
      </c>
    </row>
    <row r="422" spans="1:20" x14ac:dyDescent="0.3">
      <c r="A422" s="3">
        <v>8260</v>
      </c>
      <c r="B422" s="1" t="s">
        <v>260</v>
      </c>
      <c r="C422" s="1" t="s">
        <v>653</v>
      </c>
      <c r="D422" s="1" t="s">
        <v>15</v>
      </c>
      <c r="E422" s="11">
        <v>45316</v>
      </c>
      <c r="F422" s="1">
        <v>333194</v>
      </c>
      <c r="G422" s="1">
        <v>1519</v>
      </c>
      <c r="H422" s="1">
        <v>25514</v>
      </c>
      <c r="I422" s="1">
        <v>793</v>
      </c>
      <c r="J422" s="1">
        <v>4123</v>
      </c>
      <c r="K422" s="1">
        <v>115030</v>
      </c>
      <c r="L422" s="1">
        <v>162978</v>
      </c>
      <c r="M422" s="2">
        <v>9.132817517722408E-2</v>
      </c>
      <c r="N422" s="1">
        <v>24</v>
      </c>
      <c r="O422" s="1">
        <v>0</v>
      </c>
      <c r="P422" s="1">
        <v>2051</v>
      </c>
      <c r="Q422" s="1">
        <v>15178</v>
      </c>
      <c r="R422" s="1">
        <v>1424</v>
      </c>
      <c r="S422" s="4">
        <v>13</v>
      </c>
      <c r="T422" s="1" t="s">
        <v>782</v>
      </c>
    </row>
    <row r="423" spans="1:20" x14ac:dyDescent="0.3">
      <c r="A423" s="3">
        <v>6398</v>
      </c>
      <c r="B423" s="1" t="s">
        <v>297</v>
      </c>
      <c r="C423" s="1" t="s">
        <v>654</v>
      </c>
      <c r="D423" s="1" t="s">
        <v>15</v>
      </c>
      <c r="E423" s="11">
        <v>45379</v>
      </c>
      <c r="F423" s="1">
        <v>140214</v>
      </c>
      <c r="G423" s="1">
        <v>192</v>
      </c>
      <c r="H423" s="1">
        <v>1141</v>
      </c>
      <c r="I423" s="1">
        <v>11</v>
      </c>
      <c r="J423" s="1">
        <v>57</v>
      </c>
      <c r="K423" s="1">
        <v>4879</v>
      </c>
      <c r="L423" s="1">
        <v>8213</v>
      </c>
      <c r="M423" s="2">
        <v>8.6225341264067785E-3</v>
      </c>
      <c r="N423" s="1">
        <v>7</v>
      </c>
      <c r="O423" s="1">
        <v>0</v>
      </c>
      <c r="P423" s="1">
        <v>63</v>
      </c>
      <c r="Q423" s="1">
        <v>776</v>
      </c>
      <c r="R423" s="1">
        <v>0</v>
      </c>
      <c r="S423" s="4">
        <v>6</v>
      </c>
      <c r="T423" s="1" t="s">
        <v>792</v>
      </c>
    </row>
    <row r="424" spans="1:20" x14ac:dyDescent="0.3">
      <c r="A424" s="3">
        <v>7932</v>
      </c>
      <c r="B424" s="1" t="s">
        <v>603</v>
      </c>
      <c r="C424" s="1" t="s">
        <v>655</v>
      </c>
      <c r="D424" s="1" t="s">
        <v>15</v>
      </c>
      <c r="E424" s="11">
        <v>45560</v>
      </c>
      <c r="F424" s="1">
        <v>257534</v>
      </c>
      <c r="G424" s="1">
        <v>1108</v>
      </c>
      <c r="H424" s="1">
        <v>18372</v>
      </c>
      <c r="I424" s="1">
        <v>3409</v>
      </c>
      <c r="J424" s="1">
        <v>1947</v>
      </c>
      <c r="K424" s="1">
        <v>50549</v>
      </c>
      <c r="L424" s="1">
        <v>68674</v>
      </c>
      <c r="M424" s="2">
        <v>9.2135407363687902E-2</v>
      </c>
      <c r="N424" s="1">
        <v>10</v>
      </c>
      <c r="O424" s="1">
        <v>0</v>
      </c>
      <c r="P424" s="1">
        <v>421</v>
      </c>
      <c r="Q424" s="1">
        <v>5439</v>
      </c>
      <c r="R424" s="1">
        <v>0</v>
      </c>
      <c r="S424" s="4">
        <v>16</v>
      </c>
      <c r="T424" s="1" t="s">
        <v>790</v>
      </c>
    </row>
    <row r="425" spans="1:20" x14ac:dyDescent="0.3">
      <c r="A425" s="3">
        <v>5128</v>
      </c>
      <c r="B425" s="1" t="s">
        <v>252</v>
      </c>
      <c r="C425" s="1" t="s">
        <v>656</v>
      </c>
      <c r="D425" s="1" t="s">
        <v>38</v>
      </c>
      <c r="E425" s="11">
        <v>45418</v>
      </c>
      <c r="F425" s="1">
        <v>137909</v>
      </c>
      <c r="G425" s="1">
        <v>1186</v>
      </c>
      <c r="H425" s="1">
        <v>8614</v>
      </c>
      <c r="I425" s="1">
        <v>561</v>
      </c>
      <c r="J425" s="1">
        <v>863</v>
      </c>
      <c r="K425" s="1">
        <v>33804</v>
      </c>
      <c r="L425" s="1">
        <v>33758</v>
      </c>
      <c r="M425" s="2">
        <v>7.2787127743657046E-2</v>
      </c>
      <c r="N425" s="1">
        <v>9</v>
      </c>
      <c r="O425" s="1">
        <v>29</v>
      </c>
      <c r="P425" s="1">
        <v>607</v>
      </c>
      <c r="Q425" s="1">
        <v>2616</v>
      </c>
      <c r="R425" s="1">
        <v>47</v>
      </c>
      <c r="S425" s="4">
        <v>20</v>
      </c>
      <c r="T425" s="1" t="s">
        <v>797</v>
      </c>
    </row>
    <row r="426" spans="1:20" x14ac:dyDescent="0.3">
      <c r="A426" s="3">
        <v>5086</v>
      </c>
      <c r="B426" s="1" t="s">
        <v>244</v>
      </c>
      <c r="C426" s="1" t="s">
        <v>657</v>
      </c>
      <c r="D426" s="1" t="s">
        <v>20</v>
      </c>
      <c r="E426" s="11">
        <v>45541</v>
      </c>
      <c r="F426" s="1">
        <v>432007</v>
      </c>
      <c r="G426" s="1">
        <v>437</v>
      </c>
      <c r="H426" s="1">
        <v>41294</v>
      </c>
      <c r="I426" s="1">
        <v>6807</v>
      </c>
      <c r="J426" s="1">
        <v>7633</v>
      </c>
      <c r="K426" s="1">
        <v>191716</v>
      </c>
      <c r="L426" s="1">
        <v>249403</v>
      </c>
      <c r="M426" s="2">
        <v>0.12901179841993302</v>
      </c>
      <c r="N426" s="1">
        <v>18</v>
      </c>
      <c r="O426" s="1">
        <v>0</v>
      </c>
      <c r="P426" s="1">
        <v>1258</v>
      </c>
      <c r="Q426" s="1">
        <v>29229</v>
      </c>
      <c r="R426" s="1">
        <v>0</v>
      </c>
      <c r="S426" s="4">
        <v>11</v>
      </c>
      <c r="T426" s="1" t="s">
        <v>785</v>
      </c>
    </row>
    <row r="427" spans="1:20" x14ac:dyDescent="0.3">
      <c r="A427" s="3">
        <v>3423</v>
      </c>
      <c r="B427" s="1" t="s">
        <v>658</v>
      </c>
      <c r="C427" s="1" t="s">
        <v>659</v>
      </c>
      <c r="D427" s="1" t="s">
        <v>38</v>
      </c>
      <c r="E427" s="11">
        <v>45642</v>
      </c>
      <c r="F427" s="1">
        <v>167241</v>
      </c>
      <c r="G427" s="1">
        <v>459</v>
      </c>
      <c r="H427" s="1">
        <v>19387</v>
      </c>
      <c r="I427" s="1">
        <v>1074</v>
      </c>
      <c r="J427" s="1">
        <v>3100</v>
      </c>
      <c r="K427" s="1">
        <v>22669</v>
      </c>
      <c r="L427" s="1">
        <v>135524</v>
      </c>
      <c r="M427" s="2">
        <v>0.14088052570840881</v>
      </c>
      <c r="N427" s="1">
        <v>23</v>
      </c>
      <c r="O427" s="1">
        <v>24</v>
      </c>
      <c r="P427" s="1">
        <v>1081</v>
      </c>
      <c r="Q427" s="1">
        <v>2967</v>
      </c>
      <c r="R427" s="1">
        <v>177</v>
      </c>
      <c r="S427" s="4">
        <v>15</v>
      </c>
      <c r="T427" s="1" t="s">
        <v>789</v>
      </c>
    </row>
    <row r="428" spans="1:20" x14ac:dyDescent="0.3">
      <c r="A428" s="3">
        <v>9661</v>
      </c>
      <c r="B428" s="1" t="s">
        <v>386</v>
      </c>
      <c r="C428" s="1" t="s">
        <v>660</v>
      </c>
      <c r="D428" s="1" t="s">
        <v>15</v>
      </c>
      <c r="E428" s="11">
        <v>45455</v>
      </c>
      <c r="F428" s="1">
        <v>377765</v>
      </c>
      <c r="G428" s="1">
        <v>1823</v>
      </c>
      <c r="H428" s="1">
        <v>55574</v>
      </c>
      <c r="I428" s="1">
        <v>8356</v>
      </c>
      <c r="J428" s="1">
        <v>13926</v>
      </c>
      <c r="K428" s="1">
        <v>100420</v>
      </c>
      <c r="L428" s="1">
        <v>266214</v>
      </c>
      <c r="M428" s="2">
        <v>0.20609638267176683</v>
      </c>
      <c r="N428" s="1">
        <v>24</v>
      </c>
      <c r="O428" s="1">
        <v>0</v>
      </c>
      <c r="P428" s="1">
        <v>3437</v>
      </c>
      <c r="Q428" s="1">
        <v>16473</v>
      </c>
      <c r="R428" s="1">
        <v>1584</v>
      </c>
      <c r="S428" s="4">
        <v>22</v>
      </c>
      <c r="T428" s="1" t="s">
        <v>784</v>
      </c>
    </row>
    <row r="429" spans="1:20" x14ac:dyDescent="0.3">
      <c r="A429" s="3">
        <v>8069</v>
      </c>
      <c r="B429" s="1" t="s">
        <v>635</v>
      </c>
      <c r="C429" s="1" t="s">
        <v>661</v>
      </c>
      <c r="D429" s="1" t="s">
        <v>20</v>
      </c>
      <c r="E429" s="11">
        <v>45582</v>
      </c>
      <c r="F429" s="1">
        <v>87726</v>
      </c>
      <c r="G429" s="1">
        <v>536</v>
      </c>
      <c r="H429" s="1">
        <v>4167</v>
      </c>
      <c r="I429" s="1">
        <v>217</v>
      </c>
      <c r="J429" s="1">
        <v>440</v>
      </c>
      <c r="K429" s="1">
        <v>9735</v>
      </c>
      <c r="L429" s="1">
        <v>23893</v>
      </c>
      <c r="M429" s="2">
        <v>5.4989398809930923E-2</v>
      </c>
      <c r="N429" s="1">
        <v>23</v>
      </c>
      <c r="O429" s="1">
        <v>0</v>
      </c>
      <c r="P429" s="1">
        <v>413</v>
      </c>
      <c r="Q429" s="1">
        <v>1222</v>
      </c>
      <c r="R429" s="1">
        <v>44</v>
      </c>
      <c r="S429" s="4">
        <v>23</v>
      </c>
      <c r="T429" s="1" t="s">
        <v>786</v>
      </c>
    </row>
    <row r="430" spans="1:20" x14ac:dyDescent="0.3">
      <c r="A430" s="3">
        <v>7998</v>
      </c>
      <c r="B430" s="1" t="s">
        <v>338</v>
      </c>
      <c r="C430" s="1" t="s">
        <v>662</v>
      </c>
      <c r="D430" s="1" t="s">
        <v>20</v>
      </c>
      <c r="E430" s="11">
        <v>45395</v>
      </c>
      <c r="F430" s="1">
        <v>233002</v>
      </c>
      <c r="G430" s="1">
        <v>824</v>
      </c>
      <c r="H430" s="1">
        <v>27964</v>
      </c>
      <c r="I430" s="1">
        <v>2040</v>
      </c>
      <c r="J430" s="1">
        <v>3853</v>
      </c>
      <c r="K430" s="1">
        <v>104400</v>
      </c>
      <c r="L430" s="1">
        <v>150336</v>
      </c>
      <c r="M430" s="2">
        <v>0.14530776559857855</v>
      </c>
      <c r="N430" s="1">
        <v>8</v>
      </c>
      <c r="O430" s="1">
        <v>0</v>
      </c>
      <c r="P430" s="1">
        <v>2190</v>
      </c>
      <c r="Q430" s="1">
        <v>11553</v>
      </c>
      <c r="R430" s="1">
        <v>0</v>
      </c>
      <c r="S430" s="4">
        <v>11</v>
      </c>
      <c r="T430" s="1" t="s">
        <v>785</v>
      </c>
    </row>
    <row r="431" spans="1:20" x14ac:dyDescent="0.3">
      <c r="A431" s="3">
        <v>1287</v>
      </c>
      <c r="B431" s="1" t="s">
        <v>182</v>
      </c>
      <c r="C431" s="1" t="s">
        <v>663</v>
      </c>
      <c r="D431" s="1" t="s">
        <v>38</v>
      </c>
      <c r="E431" s="11">
        <v>45572</v>
      </c>
      <c r="F431" s="1">
        <v>347279</v>
      </c>
      <c r="G431" s="1">
        <v>1446</v>
      </c>
      <c r="H431" s="1">
        <v>48540</v>
      </c>
      <c r="I431" s="1">
        <v>2791</v>
      </c>
      <c r="J431" s="1">
        <v>5752</v>
      </c>
      <c r="K431" s="1">
        <v>104334</v>
      </c>
      <c r="L431" s="1">
        <v>222479</v>
      </c>
      <c r="M431" s="2">
        <v>0.16437216186409198</v>
      </c>
      <c r="N431" s="1">
        <v>20</v>
      </c>
      <c r="O431" s="1">
        <v>14</v>
      </c>
      <c r="P431" s="1">
        <v>1300</v>
      </c>
      <c r="Q431" s="1">
        <v>5956</v>
      </c>
      <c r="R431" s="1">
        <v>0</v>
      </c>
      <c r="S431" s="4">
        <v>15</v>
      </c>
      <c r="T431" s="1" t="s">
        <v>789</v>
      </c>
    </row>
    <row r="432" spans="1:20" x14ac:dyDescent="0.3">
      <c r="A432" s="3">
        <v>4555</v>
      </c>
      <c r="B432" s="1" t="s">
        <v>440</v>
      </c>
      <c r="C432" s="1" t="s">
        <v>664</v>
      </c>
      <c r="D432" s="1" t="s">
        <v>20</v>
      </c>
      <c r="E432" s="11">
        <v>45348</v>
      </c>
      <c r="F432" s="1">
        <v>136993</v>
      </c>
      <c r="G432" s="1">
        <v>844</v>
      </c>
      <c r="H432" s="1">
        <v>15221</v>
      </c>
      <c r="I432" s="1">
        <v>1531</v>
      </c>
      <c r="J432" s="1">
        <v>1206</v>
      </c>
      <c r="K432" s="1">
        <v>67255</v>
      </c>
      <c r="L432" s="1">
        <v>78761</v>
      </c>
      <c r="M432" s="2">
        <v>0.13108698984619652</v>
      </c>
      <c r="N432" s="1">
        <v>4</v>
      </c>
      <c r="O432" s="1">
        <v>0</v>
      </c>
      <c r="P432" s="1">
        <v>540</v>
      </c>
      <c r="Q432" s="1">
        <v>6547</v>
      </c>
      <c r="R432" s="1">
        <v>396</v>
      </c>
      <c r="S432" s="4">
        <v>18</v>
      </c>
      <c r="T432" s="1" t="s">
        <v>793</v>
      </c>
    </row>
    <row r="433" spans="1:20" x14ac:dyDescent="0.3">
      <c r="A433" s="3">
        <v>7035</v>
      </c>
      <c r="B433" s="1" t="s">
        <v>665</v>
      </c>
      <c r="C433" s="1" t="s">
        <v>666</v>
      </c>
      <c r="D433" s="1" t="s">
        <v>15</v>
      </c>
      <c r="E433" s="11">
        <v>45652</v>
      </c>
      <c r="F433" s="1">
        <v>155410</v>
      </c>
      <c r="G433" s="1">
        <v>1267</v>
      </c>
      <c r="H433" s="1">
        <v>16377</v>
      </c>
      <c r="I433" s="1">
        <v>527</v>
      </c>
      <c r="J433" s="1">
        <v>3579</v>
      </c>
      <c r="K433" s="1">
        <v>20307</v>
      </c>
      <c r="L433" s="1">
        <v>70269</v>
      </c>
      <c r="M433" s="2">
        <v>0.13179975548549</v>
      </c>
      <c r="N433" s="1">
        <v>3</v>
      </c>
      <c r="O433" s="1">
        <v>0</v>
      </c>
      <c r="P433" s="1">
        <v>1150</v>
      </c>
      <c r="Q433" s="1">
        <v>1860</v>
      </c>
      <c r="R433" s="1">
        <v>84</v>
      </c>
      <c r="S433" s="4">
        <v>16</v>
      </c>
      <c r="T433" s="1" t="s">
        <v>790</v>
      </c>
    </row>
    <row r="434" spans="1:20" x14ac:dyDescent="0.3">
      <c r="A434" s="3">
        <v>7447</v>
      </c>
      <c r="B434" s="1" t="s">
        <v>614</v>
      </c>
      <c r="C434" s="1" t="s">
        <v>667</v>
      </c>
      <c r="D434" s="1" t="s">
        <v>15</v>
      </c>
      <c r="E434" s="11">
        <v>45491</v>
      </c>
      <c r="F434" s="1">
        <v>355952</v>
      </c>
      <c r="G434" s="1">
        <v>1974</v>
      </c>
      <c r="H434" s="1">
        <v>26602</v>
      </c>
      <c r="I434" s="1">
        <v>4535</v>
      </c>
      <c r="J434" s="1">
        <v>4276</v>
      </c>
      <c r="K434" s="1">
        <v>92336</v>
      </c>
      <c r="L434" s="1">
        <v>138157</v>
      </c>
      <c r="M434" s="2">
        <v>9.9488133231446937E-2</v>
      </c>
      <c r="N434" s="1">
        <v>17</v>
      </c>
      <c r="O434" s="1">
        <v>0</v>
      </c>
      <c r="P434" s="1">
        <v>1838</v>
      </c>
      <c r="Q434" s="1">
        <v>4785</v>
      </c>
      <c r="R434" s="1">
        <v>82</v>
      </c>
      <c r="S434" s="4">
        <v>10</v>
      </c>
      <c r="T434" s="1" t="s">
        <v>783</v>
      </c>
    </row>
    <row r="435" spans="1:20" x14ac:dyDescent="0.3">
      <c r="A435" s="3">
        <v>8329</v>
      </c>
      <c r="B435" s="1" t="s">
        <v>412</v>
      </c>
      <c r="C435" s="1" t="s">
        <v>668</v>
      </c>
      <c r="D435" s="1" t="s">
        <v>38</v>
      </c>
      <c r="E435" s="11">
        <v>45540</v>
      </c>
      <c r="F435" s="1">
        <v>353332</v>
      </c>
      <c r="G435" s="1">
        <v>212</v>
      </c>
      <c r="H435" s="1">
        <v>43623</v>
      </c>
      <c r="I435" s="1">
        <v>4195</v>
      </c>
      <c r="J435" s="1">
        <v>3824</v>
      </c>
      <c r="K435" s="1">
        <v>196966</v>
      </c>
      <c r="L435" s="1">
        <v>130596</v>
      </c>
      <c r="M435" s="2">
        <v>0.14615715531002005</v>
      </c>
      <c r="N435" s="1">
        <v>14</v>
      </c>
      <c r="O435" s="1">
        <v>18</v>
      </c>
      <c r="P435" s="1">
        <v>2521</v>
      </c>
      <c r="Q435" s="1">
        <v>33501</v>
      </c>
      <c r="R435" s="1">
        <v>0</v>
      </c>
      <c r="S435" s="4">
        <v>16</v>
      </c>
      <c r="T435" s="1" t="s">
        <v>790</v>
      </c>
    </row>
    <row r="436" spans="1:20" x14ac:dyDescent="0.3">
      <c r="A436" s="3">
        <v>3683</v>
      </c>
      <c r="B436" s="1" t="s">
        <v>358</v>
      </c>
      <c r="C436" s="1" t="s">
        <v>669</v>
      </c>
      <c r="D436" s="1" t="s">
        <v>20</v>
      </c>
      <c r="E436" s="11">
        <v>45456</v>
      </c>
      <c r="F436" s="1">
        <v>78305</v>
      </c>
      <c r="G436" s="1">
        <v>876</v>
      </c>
      <c r="H436" s="1">
        <v>6138</v>
      </c>
      <c r="I436" s="1">
        <v>1010</v>
      </c>
      <c r="J436" s="1">
        <v>1024</v>
      </c>
      <c r="K436" s="1">
        <v>13081</v>
      </c>
      <c r="L436" s="1">
        <v>39635</v>
      </c>
      <c r="M436" s="2">
        <v>0.10436115190600856</v>
      </c>
      <c r="N436" s="1">
        <v>23</v>
      </c>
      <c r="O436" s="1">
        <v>0</v>
      </c>
      <c r="P436" s="1">
        <v>173</v>
      </c>
      <c r="Q436" s="1">
        <v>1992</v>
      </c>
      <c r="R436" s="1">
        <v>0</v>
      </c>
      <c r="S436" s="4">
        <v>22</v>
      </c>
      <c r="T436" s="1" t="s">
        <v>784</v>
      </c>
    </row>
    <row r="437" spans="1:20" x14ac:dyDescent="0.3">
      <c r="A437" s="3">
        <v>4655</v>
      </c>
      <c r="B437" s="1" t="s">
        <v>670</v>
      </c>
      <c r="C437" s="1" t="s">
        <v>671</v>
      </c>
      <c r="D437" s="1" t="s">
        <v>20</v>
      </c>
      <c r="E437" s="11">
        <v>45589</v>
      </c>
      <c r="F437" s="1">
        <v>145995</v>
      </c>
      <c r="G437" s="1">
        <v>731</v>
      </c>
      <c r="H437" s="1">
        <v>19193</v>
      </c>
      <c r="I437" s="1">
        <v>1926</v>
      </c>
      <c r="J437" s="1">
        <v>2777</v>
      </c>
      <c r="K437" s="1">
        <v>72432</v>
      </c>
      <c r="L437" s="1">
        <v>106242</v>
      </c>
      <c r="M437" s="2">
        <v>0.1636768382478852</v>
      </c>
      <c r="N437" s="1">
        <v>17</v>
      </c>
      <c r="O437" s="1">
        <v>0</v>
      </c>
      <c r="P437" s="1">
        <v>1755</v>
      </c>
      <c r="Q437" s="1">
        <v>10150</v>
      </c>
      <c r="R437" s="1">
        <v>957</v>
      </c>
      <c r="S437" s="4">
        <v>10</v>
      </c>
      <c r="T437" s="1" t="s">
        <v>783</v>
      </c>
    </row>
    <row r="438" spans="1:20" x14ac:dyDescent="0.3">
      <c r="A438" s="3">
        <v>3481</v>
      </c>
      <c r="B438" s="1" t="s">
        <v>510</v>
      </c>
      <c r="C438" s="1" t="s">
        <v>672</v>
      </c>
      <c r="D438" s="1" t="s">
        <v>15</v>
      </c>
      <c r="E438" s="11">
        <v>45545</v>
      </c>
      <c r="F438" s="1">
        <v>207672</v>
      </c>
      <c r="G438" s="1">
        <v>734</v>
      </c>
      <c r="H438" s="1">
        <v>27963</v>
      </c>
      <c r="I438" s="1">
        <v>3607</v>
      </c>
      <c r="J438" s="1">
        <v>2040</v>
      </c>
      <c r="K438" s="1">
        <v>74082</v>
      </c>
      <c r="L438" s="1">
        <v>80064</v>
      </c>
      <c r="M438" s="2">
        <v>0.16184175045263685</v>
      </c>
      <c r="N438" s="1">
        <v>10</v>
      </c>
      <c r="O438" s="1">
        <v>0</v>
      </c>
      <c r="P438" s="1">
        <v>748</v>
      </c>
      <c r="Q438" s="1">
        <v>7278</v>
      </c>
      <c r="R438" s="1">
        <v>212</v>
      </c>
      <c r="S438" s="4">
        <v>12</v>
      </c>
      <c r="T438" s="1" t="s">
        <v>787</v>
      </c>
    </row>
    <row r="439" spans="1:20" x14ac:dyDescent="0.3">
      <c r="A439" s="3">
        <v>1251</v>
      </c>
      <c r="B439" s="1" t="s">
        <v>673</v>
      </c>
      <c r="C439" s="1" t="s">
        <v>674</v>
      </c>
      <c r="D439" s="1" t="s">
        <v>15</v>
      </c>
      <c r="E439" s="11">
        <v>45496</v>
      </c>
      <c r="F439" s="1">
        <v>170912</v>
      </c>
      <c r="G439" s="1">
        <v>1303</v>
      </c>
      <c r="H439" s="1">
        <v>20625</v>
      </c>
      <c r="I439" s="1">
        <v>4100</v>
      </c>
      <c r="J439" s="1">
        <v>2616</v>
      </c>
      <c r="K439" s="1">
        <v>64633</v>
      </c>
      <c r="L439" s="1">
        <v>145843</v>
      </c>
      <c r="M439" s="2">
        <v>0.15997121325594457</v>
      </c>
      <c r="N439" s="1">
        <v>24</v>
      </c>
      <c r="O439" s="1">
        <v>0</v>
      </c>
      <c r="P439" s="1">
        <v>1267</v>
      </c>
      <c r="Q439" s="1">
        <v>8779</v>
      </c>
      <c r="R439" s="1">
        <v>814</v>
      </c>
      <c r="S439" s="4">
        <v>19</v>
      </c>
      <c r="T439" s="1" t="s">
        <v>795</v>
      </c>
    </row>
    <row r="440" spans="1:20" x14ac:dyDescent="0.3">
      <c r="A440" s="3">
        <v>8610</v>
      </c>
      <c r="B440" s="1" t="s">
        <v>100</v>
      </c>
      <c r="C440" s="1" t="s">
        <v>675</v>
      </c>
      <c r="D440" s="1" t="s">
        <v>20</v>
      </c>
      <c r="E440" s="11">
        <v>45537</v>
      </c>
      <c r="F440" s="1">
        <v>310604</v>
      </c>
      <c r="G440" s="1">
        <v>656</v>
      </c>
      <c r="H440" s="1">
        <v>31292</v>
      </c>
      <c r="I440" s="1">
        <v>740</v>
      </c>
      <c r="J440" s="1">
        <v>6949</v>
      </c>
      <c r="K440" s="1">
        <v>105362</v>
      </c>
      <c r="L440" s="1">
        <v>211128</v>
      </c>
      <c r="M440" s="2">
        <v>0.1255006374676437</v>
      </c>
      <c r="N440" s="1">
        <v>6</v>
      </c>
      <c r="O440" s="1">
        <v>0</v>
      </c>
      <c r="P440" s="1">
        <v>774</v>
      </c>
      <c r="Q440" s="1">
        <v>9673</v>
      </c>
      <c r="R440" s="1">
        <v>703</v>
      </c>
      <c r="S440" s="4">
        <v>17</v>
      </c>
      <c r="T440" s="1" t="s">
        <v>791</v>
      </c>
    </row>
    <row r="441" spans="1:20" x14ac:dyDescent="0.3">
      <c r="A441" s="3">
        <v>4093</v>
      </c>
      <c r="B441" s="1" t="s">
        <v>529</v>
      </c>
      <c r="C441" s="1" t="s">
        <v>676</v>
      </c>
      <c r="D441" s="1" t="s">
        <v>38</v>
      </c>
      <c r="E441" s="11">
        <v>45322</v>
      </c>
      <c r="F441" s="1">
        <v>255628</v>
      </c>
      <c r="G441" s="1">
        <v>1836</v>
      </c>
      <c r="H441" s="1">
        <v>9428</v>
      </c>
      <c r="I441" s="1">
        <v>1570</v>
      </c>
      <c r="J441" s="1">
        <v>1578</v>
      </c>
      <c r="K441" s="1">
        <v>23475</v>
      </c>
      <c r="L441" s="1">
        <v>74132</v>
      </c>
      <c r="M441" s="2">
        <v>4.9196488647565997E-2</v>
      </c>
      <c r="N441" s="1">
        <v>11</v>
      </c>
      <c r="O441" s="1">
        <v>45</v>
      </c>
      <c r="P441" s="1">
        <v>734</v>
      </c>
      <c r="Q441" s="1">
        <v>4562</v>
      </c>
      <c r="R441" s="1">
        <v>0</v>
      </c>
      <c r="S441" s="4">
        <v>9</v>
      </c>
      <c r="T441" s="1" t="s">
        <v>798</v>
      </c>
    </row>
    <row r="442" spans="1:20" x14ac:dyDescent="0.3">
      <c r="A442" s="3">
        <v>9056</v>
      </c>
      <c r="B442" s="1" t="s">
        <v>139</v>
      </c>
      <c r="C442" s="1" t="s">
        <v>677</v>
      </c>
      <c r="D442" s="1" t="s">
        <v>15</v>
      </c>
      <c r="E442" s="11">
        <v>45472</v>
      </c>
      <c r="F442" s="1">
        <v>400147</v>
      </c>
      <c r="G442" s="1">
        <v>1348</v>
      </c>
      <c r="H442" s="1">
        <v>27329</v>
      </c>
      <c r="I442" s="1">
        <v>1237</v>
      </c>
      <c r="J442" s="1">
        <v>3861</v>
      </c>
      <c r="K442" s="1">
        <v>47730</v>
      </c>
      <c r="L442" s="1">
        <v>133272</v>
      </c>
      <c r="M442" s="2">
        <v>8.1037718638400383E-2</v>
      </c>
      <c r="N442" s="1">
        <v>6</v>
      </c>
      <c r="O442" s="1">
        <v>0</v>
      </c>
      <c r="P442" s="1">
        <v>649</v>
      </c>
      <c r="Q442" s="1">
        <v>5766</v>
      </c>
      <c r="R442" s="1">
        <v>230</v>
      </c>
      <c r="S442" s="4">
        <v>10</v>
      </c>
      <c r="T442" s="1" t="s">
        <v>783</v>
      </c>
    </row>
    <row r="443" spans="1:20" x14ac:dyDescent="0.3">
      <c r="A443" s="3">
        <v>1278</v>
      </c>
      <c r="B443" s="1" t="s">
        <v>299</v>
      </c>
      <c r="C443" s="1" t="s">
        <v>678</v>
      </c>
      <c r="D443" s="1" t="s">
        <v>15</v>
      </c>
      <c r="E443" s="11">
        <v>45444</v>
      </c>
      <c r="F443" s="1">
        <v>98574</v>
      </c>
      <c r="G443" s="1">
        <v>766</v>
      </c>
      <c r="H443" s="1">
        <v>9906</v>
      </c>
      <c r="I443" s="1">
        <v>267</v>
      </c>
      <c r="J443" s="1">
        <v>919</v>
      </c>
      <c r="K443" s="1">
        <v>26655</v>
      </c>
      <c r="L443" s="1">
        <v>60138</v>
      </c>
      <c r="M443" s="2">
        <v>0.11252460080751517</v>
      </c>
      <c r="N443" s="1">
        <v>21</v>
      </c>
      <c r="O443" s="1">
        <v>0</v>
      </c>
      <c r="P443" s="1">
        <v>601</v>
      </c>
      <c r="Q443" s="1">
        <v>4837</v>
      </c>
      <c r="R443" s="1">
        <v>0</v>
      </c>
      <c r="S443" s="4">
        <v>8</v>
      </c>
      <c r="T443" s="1" t="s">
        <v>796</v>
      </c>
    </row>
    <row r="444" spans="1:20" x14ac:dyDescent="0.3">
      <c r="A444" s="3">
        <v>4371</v>
      </c>
      <c r="B444" s="1" t="s">
        <v>61</v>
      </c>
      <c r="C444" s="1" t="s">
        <v>679</v>
      </c>
      <c r="D444" s="1" t="s">
        <v>20</v>
      </c>
      <c r="E444" s="11">
        <v>45524</v>
      </c>
      <c r="F444" s="1">
        <v>472252</v>
      </c>
      <c r="G444" s="1">
        <v>655</v>
      </c>
      <c r="H444" s="1">
        <v>46569</v>
      </c>
      <c r="I444" s="1">
        <v>7735</v>
      </c>
      <c r="J444" s="1">
        <v>3619</v>
      </c>
      <c r="K444" s="1">
        <v>150923</v>
      </c>
      <c r="L444" s="1">
        <v>164405</v>
      </c>
      <c r="M444" s="2">
        <v>0.12265273625098465</v>
      </c>
      <c r="N444" s="1">
        <v>25</v>
      </c>
      <c r="O444" s="1">
        <v>0</v>
      </c>
      <c r="P444" s="1">
        <v>2603</v>
      </c>
      <c r="Q444" s="1">
        <v>27947</v>
      </c>
      <c r="R444" s="1">
        <v>0</v>
      </c>
      <c r="S444" s="4">
        <v>13</v>
      </c>
      <c r="T444" s="1" t="s">
        <v>782</v>
      </c>
    </row>
    <row r="445" spans="1:20" x14ac:dyDescent="0.3">
      <c r="A445" s="3">
        <v>8351</v>
      </c>
      <c r="B445" s="1" t="s">
        <v>680</v>
      </c>
      <c r="C445" s="1" t="s">
        <v>681</v>
      </c>
      <c r="D445" s="1" t="s">
        <v>38</v>
      </c>
      <c r="E445" s="11">
        <v>45507</v>
      </c>
      <c r="F445" s="1">
        <v>308449</v>
      </c>
      <c r="G445" s="1">
        <v>980</v>
      </c>
      <c r="H445" s="1">
        <v>11395</v>
      </c>
      <c r="I445" s="1">
        <v>909</v>
      </c>
      <c r="J445" s="1">
        <v>3255</v>
      </c>
      <c r="K445" s="1">
        <v>26279</v>
      </c>
      <c r="L445" s="1">
        <v>83809</v>
      </c>
      <c r="M445" s="2">
        <v>5.0442698792993332E-2</v>
      </c>
      <c r="N445" s="1">
        <v>7</v>
      </c>
      <c r="O445" s="1">
        <v>31</v>
      </c>
      <c r="P445" s="1">
        <v>593</v>
      </c>
      <c r="Q445" s="1">
        <v>4889</v>
      </c>
      <c r="R445" s="1">
        <v>0</v>
      </c>
      <c r="S445" s="4">
        <v>14</v>
      </c>
      <c r="T445" s="1" t="s">
        <v>788</v>
      </c>
    </row>
    <row r="446" spans="1:20" x14ac:dyDescent="0.3">
      <c r="A446" s="3">
        <v>4947</v>
      </c>
      <c r="B446" s="1" t="s">
        <v>649</v>
      </c>
      <c r="C446" s="1" t="s">
        <v>682</v>
      </c>
      <c r="D446" s="1" t="s">
        <v>20</v>
      </c>
      <c r="E446" s="11">
        <v>45596</v>
      </c>
      <c r="F446" s="1">
        <v>104009</v>
      </c>
      <c r="G446" s="1">
        <v>1419</v>
      </c>
      <c r="H446" s="1">
        <v>13907</v>
      </c>
      <c r="I446" s="1">
        <v>1020</v>
      </c>
      <c r="J446" s="1">
        <v>654</v>
      </c>
      <c r="K446" s="1">
        <v>47467</v>
      </c>
      <c r="L446" s="1">
        <v>100263</v>
      </c>
      <c r="M446" s="2">
        <v>0.14980434385485872</v>
      </c>
      <c r="N446" s="1">
        <v>4</v>
      </c>
      <c r="O446" s="1">
        <v>0</v>
      </c>
      <c r="P446" s="1">
        <v>294</v>
      </c>
      <c r="Q446" s="1">
        <v>6049</v>
      </c>
      <c r="R446" s="1">
        <v>10</v>
      </c>
      <c r="S446" s="4">
        <v>7</v>
      </c>
      <c r="T446" s="1" t="s">
        <v>794</v>
      </c>
    </row>
    <row r="447" spans="1:20" x14ac:dyDescent="0.3">
      <c r="A447" s="3">
        <v>3610</v>
      </c>
      <c r="B447" s="1" t="s">
        <v>141</v>
      </c>
      <c r="C447" s="1" t="s">
        <v>683</v>
      </c>
      <c r="D447" s="1" t="s">
        <v>38</v>
      </c>
      <c r="E447" s="11">
        <v>45500</v>
      </c>
      <c r="F447" s="1">
        <v>336589</v>
      </c>
      <c r="G447" s="1">
        <v>1219</v>
      </c>
      <c r="H447" s="1">
        <v>39355</v>
      </c>
      <c r="I447" s="1">
        <v>5892</v>
      </c>
      <c r="J447" s="1">
        <v>1786</v>
      </c>
      <c r="K447" s="1">
        <v>72731</v>
      </c>
      <c r="L447" s="1">
        <v>229748</v>
      </c>
      <c r="M447" s="2">
        <v>0.139734215913176</v>
      </c>
      <c r="N447" s="1">
        <v>23</v>
      </c>
      <c r="O447" s="1">
        <v>25</v>
      </c>
      <c r="P447" s="1">
        <v>881</v>
      </c>
      <c r="Q447" s="1">
        <v>13180</v>
      </c>
      <c r="R447" s="1">
        <v>0</v>
      </c>
      <c r="S447" s="4">
        <v>8</v>
      </c>
      <c r="T447" s="1" t="s">
        <v>796</v>
      </c>
    </row>
    <row r="448" spans="1:20" x14ac:dyDescent="0.3">
      <c r="A448" s="3">
        <v>5358</v>
      </c>
      <c r="B448" s="1" t="s">
        <v>185</v>
      </c>
      <c r="C448" s="1" t="s">
        <v>684</v>
      </c>
      <c r="D448" s="1" t="s">
        <v>38</v>
      </c>
      <c r="E448" s="11">
        <v>45594</v>
      </c>
      <c r="F448" s="1">
        <v>103906</v>
      </c>
      <c r="G448" s="1">
        <v>1049</v>
      </c>
      <c r="H448" s="1">
        <v>12226</v>
      </c>
      <c r="I448" s="1">
        <v>435</v>
      </c>
      <c r="J448" s="1">
        <v>3088</v>
      </c>
      <c r="K448" s="1">
        <v>13544</v>
      </c>
      <c r="L448" s="1">
        <v>68383</v>
      </c>
      <c r="M448" s="2">
        <v>0.1515696879872192</v>
      </c>
      <c r="N448" s="1">
        <v>18</v>
      </c>
      <c r="O448" s="1">
        <v>21</v>
      </c>
      <c r="P448" s="1">
        <v>775</v>
      </c>
      <c r="Q448" s="1">
        <v>1915</v>
      </c>
      <c r="R448" s="1">
        <v>0</v>
      </c>
      <c r="S448" s="4">
        <v>22</v>
      </c>
      <c r="T448" s="1" t="s">
        <v>784</v>
      </c>
    </row>
    <row r="449" spans="1:20" x14ac:dyDescent="0.3">
      <c r="A449" s="3">
        <v>9961</v>
      </c>
      <c r="B449" s="1" t="s">
        <v>414</v>
      </c>
      <c r="C449" s="1" t="s">
        <v>685</v>
      </c>
      <c r="D449" s="1" t="s">
        <v>20</v>
      </c>
      <c r="E449" s="11">
        <v>45400</v>
      </c>
      <c r="F449" s="1">
        <v>275729</v>
      </c>
      <c r="G449" s="1">
        <v>521</v>
      </c>
      <c r="H449" s="1">
        <v>38373</v>
      </c>
      <c r="I449" s="1">
        <v>354</v>
      </c>
      <c r="J449" s="1">
        <v>6995</v>
      </c>
      <c r="K449" s="1">
        <v>66244</v>
      </c>
      <c r="L449" s="1">
        <v>203577</v>
      </c>
      <c r="M449" s="2">
        <v>0.16582223850229755</v>
      </c>
      <c r="N449" s="1">
        <v>22</v>
      </c>
      <c r="O449" s="1">
        <v>0</v>
      </c>
      <c r="P449" s="1">
        <v>3532</v>
      </c>
      <c r="Q449" s="1">
        <v>11880</v>
      </c>
      <c r="R449" s="1">
        <v>67</v>
      </c>
      <c r="S449" s="4">
        <v>19</v>
      </c>
      <c r="T449" s="1" t="s">
        <v>795</v>
      </c>
    </row>
    <row r="450" spans="1:20" x14ac:dyDescent="0.3">
      <c r="A450" s="3">
        <v>4714</v>
      </c>
      <c r="B450" s="1" t="s">
        <v>242</v>
      </c>
      <c r="C450" s="1" t="s">
        <v>686</v>
      </c>
      <c r="D450" s="1" t="s">
        <v>15</v>
      </c>
      <c r="E450" s="11">
        <v>45323</v>
      </c>
      <c r="F450" s="1">
        <v>55933</v>
      </c>
      <c r="G450" s="1">
        <v>477</v>
      </c>
      <c r="H450" s="1">
        <v>3962</v>
      </c>
      <c r="I450" s="1">
        <v>311</v>
      </c>
      <c r="J450" s="1">
        <v>1120</v>
      </c>
      <c r="K450" s="1">
        <v>18179</v>
      </c>
      <c r="L450" s="1">
        <v>12799</v>
      </c>
      <c r="M450" s="2">
        <v>9.6418929790999947E-2</v>
      </c>
      <c r="N450" s="1">
        <v>12</v>
      </c>
      <c r="O450" s="1">
        <v>0</v>
      </c>
      <c r="P450" s="1">
        <v>170</v>
      </c>
      <c r="Q450" s="1">
        <v>2712</v>
      </c>
      <c r="R450" s="1">
        <v>84</v>
      </c>
      <c r="S450" s="4">
        <v>11</v>
      </c>
      <c r="T450" s="1" t="s">
        <v>785</v>
      </c>
    </row>
    <row r="451" spans="1:20" x14ac:dyDescent="0.3">
      <c r="A451" s="3">
        <v>4685</v>
      </c>
      <c r="B451" s="1" t="s">
        <v>567</v>
      </c>
      <c r="C451" s="1" t="s">
        <v>687</v>
      </c>
      <c r="D451" s="1" t="s">
        <v>15</v>
      </c>
      <c r="E451" s="11">
        <v>45510</v>
      </c>
      <c r="F451" s="1">
        <v>120314</v>
      </c>
      <c r="G451" s="1">
        <v>400</v>
      </c>
      <c r="H451" s="1">
        <v>12004</v>
      </c>
      <c r="I451" s="1">
        <v>1927</v>
      </c>
      <c r="J451" s="1">
        <v>2288</v>
      </c>
      <c r="K451" s="1">
        <v>33649</v>
      </c>
      <c r="L451" s="1">
        <v>92411</v>
      </c>
      <c r="M451" s="2">
        <v>0.13480559203417725</v>
      </c>
      <c r="N451" s="1">
        <v>4</v>
      </c>
      <c r="O451" s="1">
        <v>0</v>
      </c>
      <c r="P451" s="1">
        <v>735</v>
      </c>
      <c r="Q451" s="1">
        <v>2788</v>
      </c>
      <c r="R451" s="1">
        <v>264</v>
      </c>
      <c r="S451" s="4">
        <v>23</v>
      </c>
      <c r="T451" s="1" t="s">
        <v>786</v>
      </c>
    </row>
    <row r="452" spans="1:20" x14ac:dyDescent="0.3">
      <c r="A452" s="3">
        <v>2771</v>
      </c>
      <c r="B452" s="1" t="s">
        <v>130</v>
      </c>
      <c r="C452" s="1" t="s">
        <v>688</v>
      </c>
      <c r="D452" s="1" t="s">
        <v>20</v>
      </c>
      <c r="E452" s="11">
        <v>45464</v>
      </c>
      <c r="F452" s="1">
        <v>153659</v>
      </c>
      <c r="G452" s="1">
        <v>1379</v>
      </c>
      <c r="H452" s="1">
        <v>13665</v>
      </c>
      <c r="I452" s="1">
        <v>1792</v>
      </c>
      <c r="J452" s="1">
        <v>925</v>
      </c>
      <c r="K452" s="1">
        <v>29920</v>
      </c>
      <c r="L452" s="1">
        <v>52226</v>
      </c>
      <c r="M452" s="2">
        <v>0.10661269434266786</v>
      </c>
      <c r="N452" s="1">
        <v>5</v>
      </c>
      <c r="O452" s="1">
        <v>0</v>
      </c>
      <c r="P452" s="1">
        <v>1061</v>
      </c>
      <c r="Q452" s="1">
        <v>2865</v>
      </c>
      <c r="R452" s="1">
        <v>0</v>
      </c>
      <c r="S452" s="4">
        <v>23</v>
      </c>
      <c r="T452" s="1" t="s">
        <v>786</v>
      </c>
    </row>
    <row r="453" spans="1:20" x14ac:dyDescent="0.3">
      <c r="A453" s="3">
        <v>6787</v>
      </c>
      <c r="B453" s="1" t="s">
        <v>366</v>
      </c>
      <c r="C453" s="1" t="s">
        <v>689</v>
      </c>
      <c r="D453" s="1" t="s">
        <v>20</v>
      </c>
      <c r="E453" s="11">
        <v>45454</v>
      </c>
      <c r="F453" s="1">
        <v>354938</v>
      </c>
      <c r="G453" s="1">
        <v>1223</v>
      </c>
      <c r="H453" s="1">
        <v>9859</v>
      </c>
      <c r="I453" s="1">
        <v>1365</v>
      </c>
      <c r="J453" s="1">
        <v>1673</v>
      </c>
      <c r="K453" s="1">
        <v>26862</v>
      </c>
      <c r="L453" s="1">
        <v>78411</v>
      </c>
      <c r="M453" s="2">
        <v>3.633592345705447E-2</v>
      </c>
      <c r="N453" s="1">
        <v>7</v>
      </c>
      <c r="O453" s="1">
        <v>0</v>
      </c>
      <c r="P453" s="1">
        <v>852</v>
      </c>
      <c r="Q453" s="1">
        <v>5154</v>
      </c>
      <c r="R453" s="1">
        <v>0</v>
      </c>
      <c r="S453" s="4">
        <v>9</v>
      </c>
      <c r="T453" s="1" t="s">
        <v>798</v>
      </c>
    </row>
    <row r="454" spans="1:20" x14ac:dyDescent="0.3">
      <c r="A454" s="3">
        <v>3619</v>
      </c>
      <c r="B454" s="1" t="s">
        <v>213</v>
      </c>
      <c r="C454" s="1" t="s">
        <v>690</v>
      </c>
      <c r="D454" s="1" t="s">
        <v>15</v>
      </c>
      <c r="E454" s="11">
        <v>45388</v>
      </c>
      <c r="F454" s="1">
        <v>364890</v>
      </c>
      <c r="G454" s="1">
        <v>285</v>
      </c>
      <c r="H454" s="1">
        <v>51560</v>
      </c>
      <c r="I454" s="1">
        <v>1122</v>
      </c>
      <c r="J454" s="1">
        <v>13849</v>
      </c>
      <c r="K454" s="1">
        <v>97859</v>
      </c>
      <c r="L454" s="1">
        <v>410518</v>
      </c>
      <c r="M454" s="2">
        <v>0.18233166159664557</v>
      </c>
      <c r="N454" s="1">
        <v>14</v>
      </c>
      <c r="O454" s="1">
        <v>0</v>
      </c>
      <c r="P454" s="1">
        <v>5019</v>
      </c>
      <c r="Q454" s="1">
        <v>18888</v>
      </c>
      <c r="R454" s="1">
        <v>0</v>
      </c>
      <c r="S454" s="4">
        <v>12</v>
      </c>
      <c r="T454" s="1" t="s">
        <v>787</v>
      </c>
    </row>
    <row r="455" spans="1:20" x14ac:dyDescent="0.3">
      <c r="A455" s="3">
        <v>7558</v>
      </c>
      <c r="B455" s="1" t="s">
        <v>477</v>
      </c>
      <c r="C455" s="1" t="s">
        <v>691</v>
      </c>
      <c r="D455" s="1" t="s">
        <v>15</v>
      </c>
      <c r="E455" s="11">
        <v>45653</v>
      </c>
      <c r="F455" s="1">
        <v>387893</v>
      </c>
      <c r="G455" s="1">
        <v>1594</v>
      </c>
      <c r="H455" s="1">
        <v>46770</v>
      </c>
      <c r="I455" s="1">
        <v>7063</v>
      </c>
      <c r="J455" s="1">
        <v>2663</v>
      </c>
      <c r="K455" s="1">
        <v>200087</v>
      </c>
      <c r="L455" s="1">
        <v>145687</v>
      </c>
      <c r="M455" s="2">
        <v>0.14564841335110457</v>
      </c>
      <c r="N455" s="1">
        <v>4</v>
      </c>
      <c r="O455" s="1">
        <v>0</v>
      </c>
      <c r="P455" s="1">
        <v>1949</v>
      </c>
      <c r="Q455" s="1">
        <v>11248</v>
      </c>
      <c r="R455" s="1">
        <v>277</v>
      </c>
      <c r="S455" s="4">
        <v>23</v>
      </c>
      <c r="T455" s="1" t="s">
        <v>786</v>
      </c>
    </row>
    <row r="456" spans="1:20" x14ac:dyDescent="0.3">
      <c r="A456" s="3">
        <v>3976</v>
      </c>
      <c r="B456" s="1" t="s">
        <v>153</v>
      </c>
      <c r="C456" s="1" t="s">
        <v>692</v>
      </c>
      <c r="D456" s="1" t="s">
        <v>20</v>
      </c>
      <c r="E456" s="11">
        <v>45513</v>
      </c>
      <c r="F456" s="1">
        <v>391586</v>
      </c>
      <c r="G456" s="1">
        <v>1590</v>
      </c>
      <c r="H456" s="1">
        <v>2591</v>
      </c>
      <c r="I456" s="1">
        <v>372</v>
      </c>
      <c r="J456" s="1">
        <v>571</v>
      </c>
      <c r="K456" s="1">
        <v>5807</v>
      </c>
      <c r="L456" s="1">
        <v>6503</v>
      </c>
      <c r="M456" s="2">
        <v>9.0248374558845306E-3</v>
      </c>
      <c r="N456" s="1">
        <v>6</v>
      </c>
      <c r="O456" s="1">
        <v>0</v>
      </c>
      <c r="P456" s="1">
        <v>148</v>
      </c>
      <c r="Q456" s="1">
        <v>977</v>
      </c>
      <c r="R456" s="1">
        <v>46</v>
      </c>
      <c r="S456" s="4">
        <v>9</v>
      </c>
      <c r="T456" s="1" t="s">
        <v>798</v>
      </c>
    </row>
    <row r="457" spans="1:20" x14ac:dyDescent="0.3">
      <c r="A457" s="3">
        <v>9931</v>
      </c>
      <c r="B457" s="1" t="s">
        <v>693</v>
      </c>
      <c r="C457" s="1" t="s">
        <v>694</v>
      </c>
      <c r="D457" s="1" t="s">
        <v>15</v>
      </c>
      <c r="E457" s="11">
        <v>45552</v>
      </c>
      <c r="F457" s="1">
        <v>389818</v>
      </c>
      <c r="G457" s="1">
        <v>1166</v>
      </c>
      <c r="H457" s="1">
        <v>3973</v>
      </c>
      <c r="I457" s="1">
        <v>410</v>
      </c>
      <c r="J457" s="1">
        <v>92</v>
      </c>
      <c r="K457" s="1">
        <v>4297</v>
      </c>
      <c r="L457" s="1">
        <v>28898</v>
      </c>
      <c r="M457" s="2">
        <v>1.1479716175240753E-2</v>
      </c>
      <c r="N457" s="1">
        <v>23</v>
      </c>
      <c r="O457" s="1">
        <v>0</v>
      </c>
      <c r="P457" s="1">
        <v>188</v>
      </c>
      <c r="Q457" s="1">
        <v>571</v>
      </c>
      <c r="R457" s="1">
        <v>9</v>
      </c>
      <c r="S457" s="4">
        <v>16</v>
      </c>
      <c r="T457" s="1" t="s">
        <v>790</v>
      </c>
    </row>
    <row r="458" spans="1:20" x14ac:dyDescent="0.3">
      <c r="A458" s="3">
        <v>6505</v>
      </c>
      <c r="B458" s="1" t="s">
        <v>642</v>
      </c>
      <c r="C458" s="1" t="s">
        <v>695</v>
      </c>
      <c r="D458" s="1" t="s">
        <v>38</v>
      </c>
      <c r="E458" s="11">
        <v>45308</v>
      </c>
      <c r="F458" s="1">
        <v>257598</v>
      </c>
      <c r="G458" s="1">
        <v>397</v>
      </c>
      <c r="H458" s="1">
        <v>7039</v>
      </c>
      <c r="I458" s="1">
        <v>37</v>
      </c>
      <c r="J458" s="1">
        <v>2015</v>
      </c>
      <c r="K458" s="1">
        <v>28242</v>
      </c>
      <c r="L458" s="1">
        <v>34717</v>
      </c>
      <c r="M458" s="2">
        <v>3.5291423070054895E-2</v>
      </c>
      <c r="N458" s="1">
        <v>24</v>
      </c>
      <c r="O458" s="1">
        <v>28</v>
      </c>
      <c r="P458" s="1">
        <v>537</v>
      </c>
      <c r="Q458" s="1">
        <v>3421</v>
      </c>
      <c r="R458" s="1">
        <v>210</v>
      </c>
      <c r="S458" s="4">
        <v>21</v>
      </c>
      <c r="T458" s="1" t="s">
        <v>799</v>
      </c>
    </row>
    <row r="459" spans="1:20" x14ac:dyDescent="0.3">
      <c r="A459" s="3">
        <v>2325</v>
      </c>
      <c r="B459" s="1" t="s">
        <v>429</v>
      </c>
      <c r="C459" s="1" t="s">
        <v>696</v>
      </c>
      <c r="D459" s="1" t="s">
        <v>20</v>
      </c>
      <c r="E459" s="11">
        <v>45557</v>
      </c>
      <c r="F459" s="1">
        <v>238316</v>
      </c>
      <c r="G459" s="1">
        <v>111</v>
      </c>
      <c r="H459" s="1">
        <v>17299</v>
      </c>
      <c r="I459" s="1">
        <v>2280</v>
      </c>
      <c r="J459" s="1">
        <v>323</v>
      </c>
      <c r="K459" s="1">
        <v>61990</v>
      </c>
      <c r="L459" s="1">
        <v>86886</v>
      </c>
      <c r="M459" s="2">
        <v>8.351096862988637E-2</v>
      </c>
      <c r="N459" s="1">
        <v>9</v>
      </c>
      <c r="O459" s="1">
        <v>0</v>
      </c>
      <c r="P459" s="1">
        <v>1198</v>
      </c>
      <c r="Q459" s="1">
        <v>4403</v>
      </c>
      <c r="R459" s="1">
        <v>10</v>
      </c>
      <c r="S459" s="4">
        <v>19</v>
      </c>
      <c r="T459" s="1" t="s">
        <v>795</v>
      </c>
    </row>
    <row r="460" spans="1:20" x14ac:dyDescent="0.3">
      <c r="A460" s="3">
        <v>6308</v>
      </c>
      <c r="B460" s="1" t="s">
        <v>697</v>
      </c>
      <c r="C460" s="1" t="s">
        <v>698</v>
      </c>
      <c r="D460" s="1" t="s">
        <v>20</v>
      </c>
      <c r="E460" s="11">
        <v>45395</v>
      </c>
      <c r="F460" s="1">
        <v>194451</v>
      </c>
      <c r="G460" s="1">
        <v>1042</v>
      </c>
      <c r="H460" s="1">
        <v>24485</v>
      </c>
      <c r="I460" s="1">
        <v>878</v>
      </c>
      <c r="J460" s="1">
        <v>5845</v>
      </c>
      <c r="K460" s="1">
        <v>41097</v>
      </c>
      <c r="L460" s="1">
        <v>59610</v>
      </c>
      <c r="M460" s="2">
        <v>0.1604928748116492</v>
      </c>
      <c r="N460" s="1">
        <v>7</v>
      </c>
      <c r="O460" s="1">
        <v>0</v>
      </c>
      <c r="P460" s="1">
        <v>2365</v>
      </c>
      <c r="Q460" s="1">
        <v>5441</v>
      </c>
      <c r="R460" s="1">
        <v>462</v>
      </c>
      <c r="S460" s="4">
        <v>13</v>
      </c>
      <c r="T460" s="1" t="s">
        <v>782</v>
      </c>
    </row>
    <row r="461" spans="1:20" x14ac:dyDescent="0.3">
      <c r="A461" s="3">
        <v>2632</v>
      </c>
      <c r="B461" s="1" t="s">
        <v>227</v>
      </c>
      <c r="C461" s="1" t="s">
        <v>699</v>
      </c>
      <c r="D461" s="1" t="s">
        <v>15</v>
      </c>
      <c r="E461" s="11">
        <v>45364</v>
      </c>
      <c r="F461" s="1">
        <v>163616</v>
      </c>
      <c r="G461" s="1">
        <v>262</v>
      </c>
      <c r="H461" s="1">
        <v>15478</v>
      </c>
      <c r="I461" s="1">
        <v>1883</v>
      </c>
      <c r="J461" s="1">
        <v>3405</v>
      </c>
      <c r="K461" s="1">
        <v>67132</v>
      </c>
      <c r="L461" s="1">
        <v>67830</v>
      </c>
      <c r="M461" s="2">
        <v>0.12691912771367103</v>
      </c>
      <c r="N461" s="1">
        <v>19</v>
      </c>
      <c r="O461" s="1">
        <v>0</v>
      </c>
      <c r="P461" s="1">
        <v>537</v>
      </c>
      <c r="Q461" s="1">
        <v>8594</v>
      </c>
      <c r="R461" s="1">
        <v>730</v>
      </c>
      <c r="S461" s="4">
        <v>8</v>
      </c>
      <c r="T461" s="1" t="s">
        <v>796</v>
      </c>
    </row>
    <row r="462" spans="1:20" x14ac:dyDescent="0.3">
      <c r="A462" s="3">
        <v>4935</v>
      </c>
      <c r="B462" s="1" t="s">
        <v>599</v>
      </c>
      <c r="C462" s="1" t="s">
        <v>700</v>
      </c>
      <c r="D462" s="1" t="s">
        <v>38</v>
      </c>
      <c r="E462" s="11">
        <v>45466</v>
      </c>
      <c r="F462" s="1">
        <v>399818</v>
      </c>
      <c r="G462" s="1">
        <v>834</v>
      </c>
      <c r="H462" s="1">
        <v>59223</v>
      </c>
      <c r="I462" s="1">
        <v>4259</v>
      </c>
      <c r="J462" s="1">
        <v>2758</v>
      </c>
      <c r="K462" s="1">
        <v>261083</v>
      </c>
      <c r="L462" s="1">
        <v>313337</v>
      </c>
      <c r="M462" s="2">
        <v>0.16567538229894602</v>
      </c>
      <c r="N462" s="1">
        <v>9</v>
      </c>
      <c r="O462" s="1">
        <v>27</v>
      </c>
      <c r="P462" s="1">
        <v>2965</v>
      </c>
      <c r="Q462" s="1">
        <v>25448</v>
      </c>
      <c r="R462" s="1">
        <v>695</v>
      </c>
      <c r="S462" s="4">
        <v>18</v>
      </c>
      <c r="T462" s="1" t="s">
        <v>793</v>
      </c>
    </row>
    <row r="463" spans="1:20" x14ac:dyDescent="0.3">
      <c r="A463" s="3">
        <v>6096</v>
      </c>
      <c r="B463" s="1" t="s">
        <v>225</v>
      </c>
      <c r="C463" s="1" t="s">
        <v>701</v>
      </c>
      <c r="D463" s="1" t="s">
        <v>15</v>
      </c>
      <c r="E463" s="11">
        <v>45410</v>
      </c>
      <c r="F463" s="1">
        <v>267124</v>
      </c>
      <c r="G463" s="1">
        <v>214</v>
      </c>
      <c r="H463" s="1">
        <v>30986</v>
      </c>
      <c r="I463" s="1">
        <v>5098</v>
      </c>
      <c r="J463" s="1">
        <v>3818</v>
      </c>
      <c r="K463" s="1">
        <v>124077</v>
      </c>
      <c r="L463" s="1">
        <v>235840</v>
      </c>
      <c r="M463" s="2">
        <v>0.14937631961186565</v>
      </c>
      <c r="N463" s="1">
        <v>17</v>
      </c>
      <c r="O463" s="1">
        <v>0</v>
      </c>
      <c r="P463" s="1">
        <v>930</v>
      </c>
      <c r="Q463" s="1">
        <v>16866</v>
      </c>
      <c r="R463" s="1">
        <v>257</v>
      </c>
      <c r="S463" s="4">
        <v>18</v>
      </c>
      <c r="T463" s="1" t="s">
        <v>793</v>
      </c>
    </row>
    <row r="464" spans="1:20" x14ac:dyDescent="0.3">
      <c r="A464" s="3">
        <v>3349</v>
      </c>
      <c r="B464" s="1" t="s">
        <v>597</v>
      </c>
      <c r="C464" s="1" t="s">
        <v>702</v>
      </c>
      <c r="D464" s="1" t="s">
        <v>38</v>
      </c>
      <c r="E464" s="11">
        <v>45595</v>
      </c>
      <c r="F464" s="1">
        <v>474100</v>
      </c>
      <c r="G464" s="1">
        <v>137</v>
      </c>
      <c r="H464" s="1">
        <v>44023</v>
      </c>
      <c r="I464" s="1">
        <v>5839</v>
      </c>
      <c r="J464" s="1">
        <v>11115</v>
      </c>
      <c r="K464" s="1">
        <v>146035</v>
      </c>
      <c r="L464" s="1">
        <v>251355</v>
      </c>
      <c r="M464" s="2">
        <v>0.12861632566968995</v>
      </c>
      <c r="N464" s="1">
        <v>9</v>
      </c>
      <c r="O464" s="1">
        <v>8</v>
      </c>
      <c r="P464" s="1">
        <v>3331</v>
      </c>
      <c r="Q464" s="1">
        <v>20494</v>
      </c>
      <c r="R464" s="1">
        <v>0</v>
      </c>
      <c r="S464" s="4">
        <v>8</v>
      </c>
      <c r="T464" s="1" t="s">
        <v>796</v>
      </c>
    </row>
    <row r="465" spans="1:20" x14ac:dyDescent="0.3">
      <c r="A465" s="3">
        <v>5377</v>
      </c>
      <c r="B465" s="1" t="s">
        <v>185</v>
      </c>
      <c r="C465" s="1" t="s">
        <v>703</v>
      </c>
      <c r="D465" s="1" t="s">
        <v>38</v>
      </c>
      <c r="E465" s="11">
        <v>45397</v>
      </c>
      <c r="F465" s="1">
        <v>422493</v>
      </c>
      <c r="G465" s="1">
        <v>641</v>
      </c>
      <c r="H465" s="1">
        <v>57673</v>
      </c>
      <c r="I465" s="1">
        <v>5308</v>
      </c>
      <c r="J465" s="1">
        <v>8320</v>
      </c>
      <c r="K465" s="1">
        <v>127274</v>
      </c>
      <c r="L465" s="1">
        <v>119788</v>
      </c>
      <c r="M465" s="2">
        <v>0.16876255937968204</v>
      </c>
      <c r="N465" s="1">
        <v>4</v>
      </c>
      <c r="O465" s="1">
        <v>23</v>
      </c>
      <c r="P465" s="1">
        <v>5427</v>
      </c>
      <c r="Q465" s="1">
        <v>10555</v>
      </c>
      <c r="R465" s="1">
        <v>0</v>
      </c>
      <c r="S465" s="4">
        <v>13</v>
      </c>
      <c r="T465" s="1" t="s">
        <v>782</v>
      </c>
    </row>
    <row r="466" spans="1:20" x14ac:dyDescent="0.3">
      <c r="A466" s="3">
        <v>3806</v>
      </c>
      <c r="B466" s="1" t="s">
        <v>341</v>
      </c>
      <c r="C466" s="1" t="s">
        <v>704</v>
      </c>
      <c r="D466" s="1" t="s">
        <v>38</v>
      </c>
      <c r="E466" s="11">
        <v>45347</v>
      </c>
      <c r="F466" s="1">
        <v>191110</v>
      </c>
      <c r="G466" s="1">
        <v>549</v>
      </c>
      <c r="H466" s="1">
        <v>1953</v>
      </c>
      <c r="I466" s="1">
        <v>297</v>
      </c>
      <c r="J466" s="1">
        <v>12</v>
      </c>
      <c r="K466" s="1">
        <v>5186</v>
      </c>
      <c r="L466" s="1">
        <v>4890</v>
      </c>
      <c r="M466" s="2">
        <v>1.1836115326251897E-2</v>
      </c>
      <c r="N466" s="1">
        <v>5</v>
      </c>
      <c r="O466" s="1">
        <v>35</v>
      </c>
      <c r="P466" s="1">
        <v>190</v>
      </c>
      <c r="Q466" s="1">
        <v>710</v>
      </c>
      <c r="R466" s="1">
        <v>17</v>
      </c>
      <c r="S466" s="4">
        <v>7</v>
      </c>
      <c r="T466" s="1" t="s">
        <v>794</v>
      </c>
    </row>
    <row r="467" spans="1:20" x14ac:dyDescent="0.3">
      <c r="A467" s="3">
        <v>2935</v>
      </c>
      <c r="B467" s="1" t="s">
        <v>512</v>
      </c>
      <c r="C467" s="1" t="s">
        <v>705</v>
      </c>
      <c r="D467" s="1" t="s">
        <v>38</v>
      </c>
      <c r="E467" s="11">
        <v>45480</v>
      </c>
      <c r="F467" s="1">
        <v>412854</v>
      </c>
      <c r="G467" s="1">
        <v>1486</v>
      </c>
      <c r="H467" s="1">
        <v>24566</v>
      </c>
      <c r="I467" s="1">
        <v>4182</v>
      </c>
      <c r="J467" s="1">
        <v>6693</v>
      </c>
      <c r="K467" s="1">
        <v>73717</v>
      </c>
      <c r="L467" s="1">
        <v>190454</v>
      </c>
      <c r="M467" s="2">
        <v>8.5843906078177754E-2</v>
      </c>
      <c r="N467" s="1">
        <v>18</v>
      </c>
      <c r="O467" s="1">
        <v>13</v>
      </c>
      <c r="P467" s="1">
        <v>2342</v>
      </c>
      <c r="Q467" s="1">
        <v>8017</v>
      </c>
      <c r="R467" s="1">
        <v>0</v>
      </c>
      <c r="S467" s="4">
        <v>10</v>
      </c>
      <c r="T467" s="1" t="s">
        <v>783</v>
      </c>
    </row>
    <row r="468" spans="1:20" x14ac:dyDescent="0.3">
      <c r="A468" s="3">
        <v>3434</v>
      </c>
      <c r="B468" s="1" t="s">
        <v>43</v>
      </c>
      <c r="C468" s="1" t="s">
        <v>706</v>
      </c>
      <c r="D468" s="1" t="s">
        <v>20</v>
      </c>
      <c r="E468" s="11">
        <v>45527</v>
      </c>
      <c r="F468" s="1">
        <v>369576</v>
      </c>
      <c r="G468" s="1">
        <v>785</v>
      </c>
      <c r="H468" s="1">
        <v>12741</v>
      </c>
      <c r="I468" s="1">
        <v>2119</v>
      </c>
      <c r="J468" s="1">
        <v>720</v>
      </c>
      <c r="K468" s="1">
        <v>31043</v>
      </c>
      <c r="L468" s="1">
        <v>66101</v>
      </c>
      <c r="M468" s="2">
        <v>4.215641708336039E-2</v>
      </c>
      <c r="N468" s="1">
        <v>5</v>
      </c>
      <c r="O468" s="1">
        <v>0</v>
      </c>
      <c r="P468" s="1">
        <v>882</v>
      </c>
      <c r="Q468" s="1">
        <v>3536</v>
      </c>
      <c r="R468" s="1">
        <v>79</v>
      </c>
      <c r="S468" s="4">
        <v>18</v>
      </c>
      <c r="T468" s="1" t="s">
        <v>793</v>
      </c>
    </row>
    <row r="469" spans="1:20" x14ac:dyDescent="0.3">
      <c r="A469" s="3">
        <v>4687</v>
      </c>
      <c r="B469" s="1" t="s">
        <v>85</v>
      </c>
      <c r="C469" s="1" t="s">
        <v>707</v>
      </c>
      <c r="D469" s="1" t="s">
        <v>15</v>
      </c>
      <c r="E469" s="11">
        <v>45506</v>
      </c>
      <c r="F469" s="1">
        <v>66886</v>
      </c>
      <c r="G469" s="1">
        <v>1549</v>
      </c>
      <c r="H469" s="1">
        <v>6504</v>
      </c>
      <c r="I469" s="1">
        <v>841</v>
      </c>
      <c r="J469" s="1">
        <v>893</v>
      </c>
      <c r="K469" s="1">
        <v>10162</v>
      </c>
      <c r="L469" s="1">
        <v>21108</v>
      </c>
      <c r="M469" s="2">
        <v>0.12316478784798014</v>
      </c>
      <c r="N469" s="1">
        <v>10</v>
      </c>
      <c r="O469" s="1">
        <v>0</v>
      </c>
      <c r="P469" s="1">
        <v>441</v>
      </c>
      <c r="Q469" s="1">
        <v>1162</v>
      </c>
      <c r="R469" s="1">
        <v>0</v>
      </c>
      <c r="S469" s="4">
        <v>22</v>
      </c>
      <c r="T469" s="1" t="s">
        <v>784</v>
      </c>
    </row>
    <row r="470" spans="1:20" x14ac:dyDescent="0.3">
      <c r="A470" s="3">
        <v>5138</v>
      </c>
      <c r="B470" s="1" t="s">
        <v>649</v>
      </c>
      <c r="C470" s="1" t="s">
        <v>708</v>
      </c>
      <c r="D470" s="1" t="s">
        <v>15</v>
      </c>
      <c r="E470" s="11">
        <v>45494</v>
      </c>
      <c r="F470" s="1">
        <v>467873</v>
      </c>
      <c r="G470" s="1">
        <v>1476</v>
      </c>
      <c r="H470" s="1">
        <v>55466</v>
      </c>
      <c r="I470" s="1">
        <v>9008</v>
      </c>
      <c r="J470" s="1">
        <v>6122</v>
      </c>
      <c r="K470" s="1">
        <v>131675</v>
      </c>
      <c r="L470" s="1">
        <v>155503</v>
      </c>
      <c r="M470" s="2">
        <v>0.15088709970440697</v>
      </c>
      <c r="N470" s="1">
        <v>13</v>
      </c>
      <c r="O470" s="1">
        <v>0</v>
      </c>
      <c r="P470" s="1">
        <v>4201</v>
      </c>
      <c r="Q470" s="1">
        <v>7140</v>
      </c>
      <c r="R470" s="1">
        <v>479</v>
      </c>
      <c r="S470" s="4">
        <v>19</v>
      </c>
      <c r="T470" s="1" t="s">
        <v>795</v>
      </c>
    </row>
    <row r="471" spans="1:20" x14ac:dyDescent="0.3">
      <c r="A471" s="3">
        <v>7468</v>
      </c>
      <c r="B471" s="1" t="s">
        <v>343</v>
      </c>
      <c r="C471" s="1" t="s">
        <v>709</v>
      </c>
      <c r="D471" s="1" t="s">
        <v>15</v>
      </c>
      <c r="E471" s="11">
        <v>45311</v>
      </c>
      <c r="F471" s="1">
        <v>34455</v>
      </c>
      <c r="G471" s="1">
        <v>409</v>
      </c>
      <c r="H471" s="1">
        <v>3886</v>
      </c>
      <c r="I471" s="1">
        <v>357</v>
      </c>
      <c r="J471" s="1">
        <v>49</v>
      </c>
      <c r="K471" s="1">
        <v>8907</v>
      </c>
      <c r="L471" s="1">
        <v>8050</v>
      </c>
      <c r="M471" s="2">
        <v>0.12456827746335801</v>
      </c>
      <c r="N471" s="1">
        <v>6</v>
      </c>
      <c r="O471" s="1">
        <v>0</v>
      </c>
      <c r="P471" s="1">
        <v>335</v>
      </c>
      <c r="Q471" s="1">
        <v>620</v>
      </c>
      <c r="R471" s="1">
        <v>41</v>
      </c>
      <c r="S471" s="4">
        <v>11</v>
      </c>
      <c r="T471" s="1" t="s">
        <v>785</v>
      </c>
    </row>
    <row r="472" spans="1:20" x14ac:dyDescent="0.3">
      <c r="A472" s="3">
        <v>1205</v>
      </c>
      <c r="B472" s="1" t="s">
        <v>710</v>
      </c>
      <c r="C472" s="1" t="s">
        <v>711</v>
      </c>
      <c r="D472" s="1" t="s">
        <v>15</v>
      </c>
      <c r="E472" s="11">
        <v>45441</v>
      </c>
      <c r="F472" s="1">
        <v>369622</v>
      </c>
      <c r="G472" s="1">
        <v>257</v>
      </c>
      <c r="H472" s="1">
        <v>21945</v>
      </c>
      <c r="I472" s="1">
        <v>2967</v>
      </c>
      <c r="J472" s="1">
        <v>5510</v>
      </c>
      <c r="K472" s="1">
        <v>26146</v>
      </c>
      <c r="L472" s="1">
        <v>148734</v>
      </c>
      <c r="M472" s="2">
        <v>8.230570691138514E-2</v>
      </c>
      <c r="N472" s="1">
        <v>21</v>
      </c>
      <c r="O472" s="1">
        <v>0</v>
      </c>
      <c r="P472" s="1">
        <v>892</v>
      </c>
      <c r="Q472" s="1">
        <v>4237</v>
      </c>
      <c r="R472" s="1">
        <v>290</v>
      </c>
      <c r="S472" s="4">
        <v>21</v>
      </c>
      <c r="T472" s="1" t="s">
        <v>799</v>
      </c>
    </row>
    <row r="473" spans="1:20" x14ac:dyDescent="0.3">
      <c r="A473" s="3">
        <v>6891</v>
      </c>
      <c r="B473" s="1" t="s">
        <v>162</v>
      </c>
      <c r="C473" s="1" t="s">
        <v>712</v>
      </c>
      <c r="D473" s="1" t="s">
        <v>20</v>
      </c>
      <c r="E473" s="11">
        <v>45612</v>
      </c>
      <c r="F473" s="1">
        <v>454760</v>
      </c>
      <c r="G473" s="1">
        <v>475</v>
      </c>
      <c r="H473" s="1">
        <v>44192</v>
      </c>
      <c r="I473" s="1">
        <v>4854</v>
      </c>
      <c r="J473" s="1">
        <v>2094</v>
      </c>
      <c r="K473" s="1">
        <v>57011</v>
      </c>
      <c r="L473" s="1">
        <v>352916</v>
      </c>
      <c r="M473" s="2">
        <v>0.11245492127715719</v>
      </c>
      <c r="N473" s="1">
        <v>6</v>
      </c>
      <c r="O473" s="1">
        <v>0</v>
      </c>
      <c r="P473" s="1">
        <v>1843</v>
      </c>
      <c r="Q473" s="1">
        <v>5080</v>
      </c>
      <c r="R473" s="1">
        <v>320</v>
      </c>
      <c r="S473" s="4">
        <v>6</v>
      </c>
      <c r="T473" s="1" t="s">
        <v>792</v>
      </c>
    </row>
    <row r="474" spans="1:20" x14ac:dyDescent="0.3">
      <c r="A474" s="3">
        <v>4897</v>
      </c>
      <c r="B474" s="1" t="s">
        <v>381</v>
      </c>
      <c r="C474" s="1" t="s">
        <v>713</v>
      </c>
      <c r="D474" s="1" t="s">
        <v>15</v>
      </c>
      <c r="E474" s="11">
        <v>45393</v>
      </c>
      <c r="F474" s="1">
        <v>281051</v>
      </c>
      <c r="G474" s="1">
        <v>282</v>
      </c>
      <c r="H474" s="1">
        <v>20952</v>
      </c>
      <c r="I474" s="1">
        <v>2246</v>
      </c>
      <c r="J474" s="1">
        <v>2976</v>
      </c>
      <c r="K474" s="1">
        <v>35146</v>
      </c>
      <c r="L474" s="1">
        <v>110943</v>
      </c>
      <c r="M474" s="2">
        <v>9.3129005056021855E-2</v>
      </c>
      <c r="N474" s="1">
        <v>21</v>
      </c>
      <c r="O474" s="1">
        <v>0</v>
      </c>
      <c r="P474" s="1">
        <v>1487</v>
      </c>
      <c r="Q474" s="1">
        <v>6128</v>
      </c>
      <c r="R474" s="1">
        <v>0</v>
      </c>
      <c r="S474" s="4">
        <v>17</v>
      </c>
      <c r="T474" s="1" t="s">
        <v>791</v>
      </c>
    </row>
    <row r="475" spans="1:20" x14ac:dyDescent="0.3">
      <c r="A475" s="3">
        <v>3507</v>
      </c>
      <c r="B475" s="1" t="s">
        <v>398</v>
      </c>
      <c r="C475" s="1" t="s">
        <v>714</v>
      </c>
      <c r="D475" s="1" t="s">
        <v>38</v>
      </c>
      <c r="E475" s="11">
        <v>45438</v>
      </c>
      <c r="F475" s="1">
        <v>392463</v>
      </c>
      <c r="G475" s="1">
        <v>145</v>
      </c>
      <c r="H475" s="1">
        <v>53811</v>
      </c>
      <c r="I475" s="1">
        <v>5726</v>
      </c>
      <c r="J475" s="1">
        <v>8869</v>
      </c>
      <c r="K475" s="1">
        <v>76493</v>
      </c>
      <c r="L475" s="1">
        <v>285754</v>
      </c>
      <c r="M475" s="2">
        <v>0.17429923330352159</v>
      </c>
      <c r="N475" s="1">
        <v>19</v>
      </c>
      <c r="O475" s="1">
        <v>32</v>
      </c>
      <c r="P475" s="1">
        <v>3217</v>
      </c>
      <c r="Q475" s="1">
        <v>9868</v>
      </c>
      <c r="R475" s="1">
        <v>0</v>
      </c>
      <c r="S475" s="4">
        <v>18</v>
      </c>
      <c r="T475" s="1" t="s">
        <v>793</v>
      </c>
    </row>
    <row r="476" spans="1:20" x14ac:dyDescent="0.3">
      <c r="A476" s="3">
        <v>2948</v>
      </c>
      <c r="B476" s="1" t="s">
        <v>448</v>
      </c>
      <c r="C476" s="1" t="s">
        <v>715</v>
      </c>
      <c r="D476" s="1" t="s">
        <v>20</v>
      </c>
      <c r="E476" s="11">
        <v>45342</v>
      </c>
      <c r="F476" s="1">
        <v>17559</v>
      </c>
      <c r="G476" s="1">
        <v>1082</v>
      </c>
      <c r="H476" s="1">
        <v>543</v>
      </c>
      <c r="I476" s="1">
        <v>41</v>
      </c>
      <c r="J476" s="1">
        <v>148</v>
      </c>
      <c r="K476" s="1">
        <v>1430</v>
      </c>
      <c r="L476" s="1">
        <v>1300</v>
      </c>
      <c r="M476" s="2">
        <v>4.1688023235947377E-2</v>
      </c>
      <c r="N476" s="1">
        <v>9</v>
      </c>
      <c r="O476" s="1">
        <v>0</v>
      </c>
      <c r="P476" s="1">
        <v>27</v>
      </c>
      <c r="Q476" s="1">
        <v>97</v>
      </c>
      <c r="R476" s="1">
        <v>0</v>
      </c>
      <c r="S476" s="4">
        <v>20</v>
      </c>
      <c r="T476" s="1" t="s">
        <v>797</v>
      </c>
    </row>
    <row r="477" spans="1:20" x14ac:dyDescent="0.3">
      <c r="A477" s="3">
        <v>9807</v>
      </c>
      <c r="B477" s="1" t="s">
        <v>529</v>
      </c>
      <c r="C477" s="1" t="s">
        <v>716</v>
      </c>
      <c r="D477" s="1" t="s">
        <v>20</v>
      </c>
      <c r="E477" s="11">
        <v>45547</v>
      </c>
      <c r="F477" s="1">
        <v>165041</v>
      </c>
      <c r="G477" s="1">
        <v>772</v>
      </c>
      <c r="H477" s="1">
        <v>12270</v>
      </c>
      <c r="I477" s="1">
        <v>787</v>
      </c>
      <c r="J477" s="1">
        <v>772</v>
      </c>
      <c r="K477" s="1">
        <v>33172</v>
      </c>
      <c r="L477" s="1">
        <v>67419</v>
      </c>
      <c r="M477" s="2">
        <v>8.3791300343550992E-2</v>
      </c>
      <c r="N477" s="1">
        <v>12</v>
      </c>
      <c r="O477" s="1">
        <v>0</v>
      </c>
      <c r="P477" s="1">
        <v>531</v>
      </c>
      <c r="Q477" s="1">
        <v>2927</v>
      </c>
      <c r="R477" s="1">
        <v>272</v>
      </c>
      <c r="S477" s="4">
        <v>12</v>
      </c>
      <c r="T477" s="1" t="s">
        <v>787</v>
      </c>
    </row>
    <row r="478" spans="1:20" x14ac:dyDescent="0.3">
      <c r="A478" s="3">
        <v>5264</v>
      </c>
      <c r="B478" s="1" t="s">
        <v>369</v>
      </c>
      <c r="C478" s="1" t="s">
        <v>717</v>
      </c>
      <c r="D478" s="1" t="s">
        <v>20</v>
      </c>
      <c r="E478" s="11">
        <v>45397</v>
      </c>
      <c r="F478" s="1">
        <v>467844</v>
      </c>
      <c r="G478" s="1">
        <v>347</v>
      </c>
      <c r="H478" s="1">
        <v>36298</v>
      </c>
      <c r="I478" s="1">
        <v>5705</v>
      </c>
      <c r="J478" s="1">
        <v>3062</v>
      </c>
      <c r="K478" s="1">
        <v>96929</v>
      </c>
      <c r="L478" s="1">
        <v>202447</v>
      </c>
      <c r="M478" s="2">
        <v>9.6324843323842987E-2</v>
      </c>
      <c r="N478" s="1">
        <v>24</v>
      </c>
      <c r="O478" s="1">
        <v>0</v>
      </c>
      <c r="P478" s="1">
        <v>2476</v>
      </c>
      <c r="Q478" s="1">
        <v>7667</v>
      </c>
      <c r="R478" s="1">
        <v>281</v>
      </c>
      <c r="S478" s="4">
        <v>20</v>
      </c>
      <c r="T478" s="1" t="s">
        <v>797</v>
      </c>
    </row>
    <row r="479" spans="1:20" x14ac:dyDescent="0.3">
      <c r="A479" s="3">
        <v>8489</v>
      </c>
      <c r="B479" s="1" t="s">
        <v>119</v>
      </c>
      <c r="C479" s="1" t="s">
        <v>718</v>
      </c>
      <c r="D479" s="1" t="s">
        <v>15</v>
      </c>
      <c r="E479" s="11">
        <v>45574</v>
      </c>
      <c r="F479" s="1">
        <v>104550</v>
      </c>
      <c r="G479" s="1">
        <v>862</v>
      </c>
      <c r="H479" s="1">
        <v>11878</v>
      </c>
      <c r="I479" s="1">
        <v>987</v>
      </c>
      <c r="J479" s="1">
        <v>224</v>
      </c>
      <c r="K479" s="1">
        <v>28961</v>
      </c>
      <c r="L479" s="1">
        <v>84128</v>
      </c>
      <c r="M479" s="2">
        <v>0.12519368723098995</v>
      </c>
      <c r="N479" s="1">
        <v>9</v>
      </c>
      <c r="O479" s="1">
        <v>0</v>
      </c>
      <c r="P479" s="1">
        <v>1052</v>
      </c>
      <c r="Q479" s="1">
        <v>4331</v>
      </c>
      <c r="R479" s="1">
        <v>321</v>
      </c>
      <c r="S479" s="4">
        <v>19</v>
      </c>
      <c r="T479" s="1" t="s">
        <v>795</v>
      </c>
    </row>
    <row r="480" spans="1:20" x14ac:dyDescent="0.3">
      <c r="A480" s="3">
        <v>2017</v>
      </c>
      <c r="B480" s="1" t="s">
        <v>665</v>
      </c>
      <c r="C480" s="1" t="s">
        <v>719</v>
      </c>
      <c r="D480" s="1" t="s">
        <v>15</v>
      </c>
      <c r="E480" s="11">
        <v>45430</v>
      </c>
      <c r="F480" s="1">
        <v>459712</v>
      </c>
      <c r="G480" s="1">
        <v>1860</v>
      </c>
      <c r="H480" s="1">
        <v>9853</v>
      </c>
      <c r="I480" s="1">
        <v>1631</v>
      </c>
      <c r="J480" s="1">
        <v>570</v>
      </c>
      <c r="K480" s="1">
        <v>43305</v>
      </c>
      <c r="L480" s="1">
        <v>63058</v>
      </c>
      <c r="M480" s="2">
        <v>2.6220764304608103E-2</v>
      </c>
      <c r="N480" s="1">
        <v>22</v>
      </c>
      <c r="O480" s="1">
        <v>0</v>
      </c>
      <c r="P480" s="1">
        <v>927</v>
      </c>
      <c r="Q480" s="1">
        <v>3589</v>
      </c>
      <c r="R480" s="1">
        <v>150</v>
      </c>
      <c r="S480" s="4">
        <v>20</v>
      </c>
      <c r="T480" s="1" t="s">
        <v>797</v>
      </c>
    </row>
    <row r="481" spans="1:20" x14ac:dyDescent="0.3">
      <c r="A481" s="3">
        <v>5016</v>
      </c>
      <c r="B481" s="1" t="s">
        <v>720</v>
      </c>
      <c r="C481" s="1" t="s">
        <v>721</v>
      </c>
      <c r="D481" s="1" t="s">
        <v>38</v>
      </c>
      <c r="E481" s="11">
        <v>45581</v>
      </c>
      <c r="F481" s="1">
        <v>353467</v>
      </c>
      <c r="G481" s="1">
        <v>992</v>
      </c>
      <c r="H481" s="1">
        <v>12453</v>
      </c>
      <c r="I481" s="1">
        <v>827</v>
      </c>
      <c r="J481" s="1">
        <v>2099</v>
      </c>
      <c r="K481" s="1">
        <v>23079</v>
      </c>
      <c r="L481" s="1">
        <v>69393</v>
      </c>
      <c r="M481" s="2">
        <v>4.3509012156721844E-2</v>
      </c>
      <c r="N481" s="1">
        <v>9</v>
      </c>
      <c r="O481" s="1">
        <v>10</v>
      </c>
      <c r="P481" s="1">
        <v>276</v>
      </c>
      <c r="Q481" s="1">
        <v>3255</v>
      </c>
      <c r="R481" s="1">
        <v>0</v>
      </c>
      <c r="S481" s="4">
        <v>7</v>
      </c>
      <c r="T481" s="1" t="s">
        <v>794</v>
      </c>
    </row>
    <row r="482" spans="1:20" x14ac:dyDescent="0.3">
      <c r="A482" s="3">
        <v>8148</v>
      </c>
      <c r="B482" s="1" t="s">
        <v>649</v>
      </c>
      <c r="C482" s="1" t="s">
        <v>722</v>
      </c>
      <c r="D482" s="1" t="s">
        <v>15</v>
      </c>
      <c r="E482" s="11">
        <v>45468</v>
      </c>
      <c r="F482" s="1">
        <v>172250</v>
      </c>
      <c r="G482" s="1">
        <v>1837</v>
      </c>
      <c r="H482" s="1">
        <v>12006</v>
      </c>
      <c r="I482" s="1">
        <v>2161</v>
      </c>
      <c r="J482" s="1">
        <v>1396</v>
      </c>
      <c r="K482" s="1">
        <v>17682</v>
      </c>
      <c r="L482" s="1">
        <v>40895</v>
      </c>
      <c r="M482" s="2">
        <v>9.0351233671988385E-2</v>
      </c>
      <c r="N482" s="1">
        <v>23</v>
      </c>
      <c r="O482" s="1">
        <v>0</v>
      </c>
      <c r="P482" s="1">
        <v>642</v>
      </c>
      <c r="Q482" s="1">
        <v>1250</v>
      </c>
      <c r="R482" s="1">
        <v>62</v>
      </c>
      <c r="S482" s="4">
        <v>23</v>
      </c>
      <c r="T482" s="1" t="s">
        <v>786</v>
      </c>
    </row>
    <row r="483" spans="1:20" x14ac:dyDescent="0.3">
      <c r="A483" s="3">
        <v>7330</v>
      </c>
      <c r="B483" s="1" t="s">
        <v>231</v>
      </c>
      <c r="C483" s="1" t="s">
        <v>723</v>
      </c>
      <c r="D483" s="1" t="s">
        <v>20</v>
      </c>
      <c r="E483" s="11">
        <v>45586</v>
      </c>
      <c r="F483" s="1">
        <v>487021</v>
      </c>
      <c r="G483" s="1">
        <v>1411</v>
      </c>
      <c r="H483" s="1">
        <v>55636</v>
      </c>
      <c r="I483" s="1">
        <v>1208</v>
      </c>
      <c r="J483" s="1">
        <v>12541</v>
      </c>
      <c r="K483" s="1">
        <v>153488</v>
      </c>
      <c r="L483" s="1">
        <v>305577</v>
      </c>
      <c r="M483" s="2">
        <v>0.14246818925672611</v>
      </c>
      <c r="N483" s="1">
        <v>9</v>
      </c>
      <c r="O483" s="1">
        <v>0</v>
      </c>
      <c r="P483" s="1">
        <v>2256</v>
      </c>
      <c r="Q483" s="1">
        <v>20398</v>
      </c>
      <c r="R483" s="1">
        <v>0</v>
      </c>
      <c r="S483" s="4">
        <v>13</v>
      </c>
      <c r="T483" s="1" t="s">
        <v>782</v>
      </c>
    </row>
    <row r="484" spans="1:20" x14ac:dyDescent="0.3">
      <c r="A484" s="3">
        <v>3927</v>
      </c>
      <c r="B484" s="1" t="s">
        <v>724</v>
      </c>
      <c r="C484" s="1" t="s">
        <v>725</v>
      </c>
      <c r="D484" s="1" t="s">
        <v>38</v>
      </c>
      <c r="E484" s="11">
        <v>45302</v>
      </c>
      <c r="F484" s="1">
        <v>237196</v>
      </c>
      <c r="G484" s="1">
        <v>844</v>
      </c>
      <c r="H484" s="1">
        <v>15369</v>
      </c>
      <c r="I484" s="1">
        <v>2962</v>
      </c>
      <c r="J484" s="1">
        <v>2056</v>
      </c>
      <c r="K484" s="1">
        <v>55757</v>
      </c>
      <c r="L484" s="1">
        <v>62849</v>
      </c>
      <c r="M484" s="2">
        <v>8.5950016020506254E-2</v>
      </c>
      <c r="N484" s="1">
        <v>5</v>
      </c>
      <c r="O484" s="1">
        <v>36</v>
      </c>
      <c r="P484" s="1">
        <v>1192</v>
      </c>
      <c r="Q484" s="1">
        <v>10755</v>
      </c>
      <c r="R484" s="1">
        <v>1060</v>
      </c>
      <c r="S484" s="4">
        <v>6</v>
      </c>
      <c r="T484" s="1" t="s">
        <v>792</v>
      </c>
    </row>
    <row r="485" spans="1:20" x14ac:dyDescent="0.3">
      <c r="A485" s="3">
        <v>2783</v>
      </c>
      <c r="B485" s="1" t="s">
        <v>207</v>
      </c>
      <c r="C485" s="1" t="s">
        <v>726</v>
      </c>
      <c r="D485" s="1" t="s">
        <v>38</v>
      </c>
      <c r="E485" s="11">
        <v>45390</v>
      </c>
      <c r="F485" s="1">
        <v>44653</v>
      </c>
      <c r="G485" s="1">
        <v>1517</v>
      </c>
      <c r="H485" s="1">
        <v>4664</v>
      </c>
      <c r="I485" s="1">
        <v>454</v>
      </c>
      <c r="J485" s="1">
        <v>34</v>
      </c>
      <c r="K485" s="1">
        <v>17469</v>
      </c>
      <c r="L485" s="1">
        <v>16560</v>
      </c>
      <c r="M485" s="2">
        <v>0.11537858598526415</v>
      </c>
      <c r="N485" s="1">
        <v>7</v>
      </c>
      <c r="O485" s="1">
        <v>18</v>
      </c>
      <c r="P485" s="1">
        <v>123</v>
      </c>
      <c r="Q485" s="1">
        <v>1658</v>
      </c>
      <c r="R485" s="1">
        <v>35</v>
      </c>
      <c r="S485" s="4">
        <v>14</v>
      </c>
      <c r="T485" s="1" t="s">
        <v>788</v>
      </c>
    </row>
    <row r="486" spans="1:20" x14ac:dyDescent="0.3">
      <c r="A486" s="3">
        <v>4799</v>
      </c>
      <c r="B486" s="1" t="s">
        <v>448</v>
      </c>
      <c r="C486" s="1" t="s">
        <v>727</v>
      </c>
      <c r="D486" s="1" t="s">
        <v>20</v>
      </c>
      <c r="E486" s="11">
        <v>45612</v>
      </c>
      <c r="F486" s="1">
        <v>380946</v>
      </c>
      <c r="G486" s="1">
        <v>1207</v>
      </c>
      <c r="H486" s="1">
        <v>50715</v>
      </c>
      <c r="I486" s="1">
        <v>9910</v>
      </c>
      <c r="J486" s="1">
        <v>5215</v>
      </c>
      <c r="K486" s="1">
        <v>65992</v>
      </c>
      <c r="L486" s="1">
        <v>332617</v>
      </c>
      <c r="M486" s="2">
        <v>0.17283289495099044</v>
      </c>
      <c r="N486" s="1">
        <v>6</v>
      </c>
      <c r="O486" s="1">
        <v>0</v>
      </c>
      <c r="P486" s="1">
        <v>1833</v>
      </c>
      <c r="Q486" s="1">
        <v>11301</v>
      </c>
      <c r="R486" s="1">
        <v>756</v>
      </c>
      <c r="S486" s="4">
        <v>12</v>
      </c>
      <c r="T486" s="1" t="s">
        <v>787</v>
      </c>
    </row>
    <row r="487" spans="1:20" x14ac:dyDescent="0.3">
      <c r="A487" s="3">
        <v>6494</v>
      </c>
      <c r="B487" s="1" t="s">
        <v>63</v>
      </c>
      <c r="C487" s="1" t="s">
        <v>728</v>
      </c>
      <c r="D487" s="1" t="s">
        <v>15</v>
      </c>
      <c r="E487" s="11">
        <v>45387</v>
      </c>
      <c r="F487" s="1">
        <v>109359</v>
      </c>
      <c r="G487" s="1">
        <v>1189</v>
      </c>
      <c r="H487" s="1">
        <v>968</v>
      </c>
      <c r="I487" s="1">
        <v>98</v>
      </c>
      <c r="J487" s="1">
        <v>274</v>
      </c>
      <c r="K487" s="1">
        <v>3435</v>
      </c>
      <c r="L487" s="1">
        <v>5677</v>
      </c>
      <c r="M487" s="2">
        <v>1.2253221042621092E-2</v>
      </c>
      <c r="N487" s="1">
        <v>22</v>
      </c>
      <c r="O487" s="1">
        <v>0</v>
      </c>
      <c r="P487" s="1">
        <v>31</v>
      </c>
      <c r="Q487" s="1">
        <v>635</v>
      </c>
      <c r="R487" s="1">
        <v>39</v>
      </c>
      <c r="S487" s="4">
        <v>17</v>
      </c>
      <c r="T487" s="1" t="s">
        <v>791</v>
      </c>
    </row>
    <row r="488" spans="1:20" x14ac:dyDescent="0.3">
      <c r="A488" s="3">
        <v>4790</v>
      </c>
      <c r="B488" s="1" t="s">
        <v>53</v>
      </c>
      <c r="C488" s="1" t="s">
        <v>729</v>
      </c>
      <c r="D488" s="1" t="s">
        <v>15</v>
      </c>
      <c r="E488" s="11">
        <v>45446</v>
      </c>
      <c r="F488" s="1">
        <v>7306</v>
      </c>
      <c r="G488" s="1">
        <v>656</v>
      </c>
      <c r="H488" s="1">
        <v>457</v>
      </c>
      <c r="I488" s="1">
        <v>32</v>
      </c>
      <c r="J488" s="1">
        <v>71</v>
      </c>
      <c r="K488" s="1">
        <v>589</v>
      </c>
      <c r="L488" s="1">
        <v>1070</v>
      </c>
      <c r="M488" s="2">
        <v>7.6649329318368459E-2</v>
      </c>
      <c r="N488" s="1">
        <v>22</v>
      </c>
      <c r="O488" s="1">
        <v>0</v>
      </c>
      <c r="P488" s="1">
        <v>15</v>
      </c>
      <c r="Q488" s="1">
        <v>118</v>
      </c>
      <c r="R488" s="1">
        <v>2</v>
      </c>
      <c r="S488" s="4">
        <v>21</v>
      </c>
      <c r="T488" s="1" t="s">
        <v>799</v>
      </c>
    </row>
    <row r="489" spans="1:20" x14ac:dyDescent="0.3">
      <c r="A489" s="3">
        <v>4312</v>
      </c>
      <c r="B489" s="1" t="s">
        <v>369</v>
      </c>
      <c r="C489" s="1" t="s">
        <v>730</v>
      </c>
      <c r="D489" s="1" t="s">
        <v>38</v>
      </c>
      <c r="E489" s="11">
        <v>45531</v>
      </c>
      <c r="F489" s="1">
        <v>133063</v>
      </c>
      <c r="G489" s="1">
        <v>1229</v>
      </c>
      <c r="H489" s="1">
        <v>7483</v>
      </c>
      <c r="I489" s="1">
        <v>1154</v>
      </c>
      <c r="J489" s="1">
        <v>1769</v>
      </c>
      <c r="K489" s="1">
        <v>29002</v>
      </c>
      <c r="L489" s="1">
        <v>42652</v>
      </c>
      <c r="M489" s="2">
        <v>7.8203557713263636E-2</v>
      </c>
      <c r="N489" s="1">
        <v>17</v>
      </c>
      <c r="O489" s="1">
        <v>28</v>
      </c>
      <c r="P489" s="1">
        <v>343</v>
      </c>
      <c r="Q489" s="1">
        <v>4765</v>
      </c>
      <c r="R489" s="1">
        <v>345</v>
      </c>
      <c r="S489" s="4">
        <v>9</v>
      </c>
      <c r="T489" s="1" t="s">
        <v>798</v>
      </c>
    </row>
    <row r="490" spans="1:20" x14ac:dyDescent="0.3">
      <c r="A490" s="3">
        <v>8547</v>
      </c>
      <c r="B490" s="1" t="s">
        <v>642</v>
      </c>
      <c r="C490" s="1" t="s">
        <v>731</v>
      </c>
      <c r="D490" s="1" t="s">
        <v>20</v>
      </c>
      <c r="E490" s="11">
        <v>45442</v>
      </c>
      <c r="F490" s="1">
        <v>370258</v>
      </c>
      <c r="G490" s="1">
        <v>1626</v>
      </c>
      <c r="H490" s="1">
        <v>36909</v>
      </c>
      <c r="I490" s="1">
        <v>59</v>
      </c>
      <c r="J490" s="1">
        <v>7449</v>
      </c>
      <c r="K490" s="1">
        <v>42428</v>
      </c>
      <c r="L490" s="1">
        <v>250711</v>
      </c>
      <c r="M490" s="2">
        <v>0.11996229656077655</v>
      </c>
      <c r="N490" s="1">
        <v>3</v>
      </c>
      <c r="O490" s="1">
        <v>0</v>
      </c>
      <c r="P490" s="1">
        <v>802</v>
      </c>
      <c r="Q490" s="1">
        <v>5338</v>
      </c>
      <c r="R490" s="1">
        <v>52</v>
      </c>
      <c r="S490" s="4">
        <v>20</v>
      </c>
      <c r="T490" s="1" t="s">
        <v>797</v>
      </c>
    </row>
    <row r="491" spans="1:20" x14ac:dyDescent="0.3">
      <c r="A491" s="3">
        <v>3558</v>
      </c>
      <c r="B491" s="1" t="s">
        <v>13</v>
      </c>
      <c r="C491" s="1" t="s">
        <v>732</v>
      </c>
      <c r="D491" s="1" t="s">
        <v>38</v>
      </c>
      <c r="E491" s="11">
        <v>45531</v>
      </c>
      <c r="F491" s="1">
        <v>484390</v>
      </c>
      <c r="G491" s="1">
        <v>1553</v>
      </c>
      <c r="H491" s="1">
        <v>37691</v>
      </c>
      <c r="I491" s="1">
        <v>6163</v>
      </c>
      <c r="J491" s="1">
        <v>6931</v>
      </c>
      <c r="K491" s="1">
        <v>125190</v>
      </c>
      <c r="L491" s="1">
        <v>141620</v>
      </c>
      <c r="M491" s="2">
        <v>0.10484320485559157</v>
      </c>
      <c r="N491" s="1">
        <v>10</v>
      </c>
      <c r="O491" s="1">
        <v>43</v>
      </c>
      <c r="P491" s="1">
        <v>3339</v>
      </c>
      <c r="Q491" s="1">
        <v>20148</v>
      </c>
      <c r="R491" s="1">
        <v>0</v>
      </c>
      <c r="S491" s="4">
        <v>17</v>
      </c>
      <c r="T491" s="1" t="s">
        <v>791</v>
      </c>
    </row>
    <row r="492" spans="1:20" x14ac:dyDescent="0.3">
      <c r="A492" s="3">
        <v>2233</v>
      </c>
      <c r="B492" s="1" t="s">
        <v>23</v>
      </c>
      <c r="C492" s="1" t="s">
        <v>733</v>
      </c>
      <c r="D492" s="1" t="s">
        <v>20</v>
      </c>
      <c r="E492" s="11">
        <v>45371</v>
      </c>
      <c r="F492" s="1">
        <v>35765</v>
      </c>
      <c r="G492" s="1">
        <v>1360</v>
      </c>
      <c r="H492" s="1">
        <v>4751</v>
      </c>
      <c r="I492" s="1">
        <v>205</v>
      </c>
      <c r="J492" s="1">
        <v>445</v>
      </c>
      <c r="K492" s="1">
        <v>9698</v>
      </c>
      <c r="L492" s="1">
        <v>9568</v>
      </c>
      <c r="M492" s="2">
        <v>0.15101356074374389</v>
      </c>
      <c r="N492" s="1">
        <v>22</v>
      </c>
      <c r="O492" s="1">
        <v>0</v>
      </c>
      <c r="P492" s="1">
        <v>264</v>
      </c>
      <c r="Q492" s="1">
        <v>1721</v>
      </c>
      <c r="R492" s="1">
        <v>73</v>
      </c>
      <c r="S492" s="4">
        <v>14</v>
      </c>
      <c r="T492" s="1" t="s">
        <v>788</v>
      </c>
    </row>
    <row r="493" spans="1:20" x14ac:dyDescent="0.3">
      <c r="A493" s="3">
        <v>7953</v>
      </c>
      <c r="B493" s="1" t="s">
        <v>379</v>
      </c>
      <c r="C493" s="1" t="s">
        <v>734</v>
      </c>
      <c r="D493" s="1" t="s">
        <v>15</v>
      </c>
      <c r="E493" s="11">
        <v>45427</v>
      </c>
      <c r="F493" s="1">
        <v>172727</v>
      </c>
      <c r="G493" s="1">
        <v>1223</v>
      </c>
      <c r="H493" s="1">
        <v>20119</v>
      </c>
      <c r="I493" s="1">
        <v>1627</v>
      </c>
      <c r="J493" s="1">
        <v>728</v>
      </c>
      <c r="K493" s="1">
        <v>60498</v>
      </c>
      <c r="L493" s="1">
        <v>98492</v>
      </c>
      <c r="M493" s="2">
        <v>0.13011283702026899</v>
      </c>
      <c r="N493" s="1">
        <v>13</v>
      </c>
      <c r="O493" s="1">
        <v>0</v>
      </c>
      <c r="P493" s="1">
        <v>449</v>
      </c>
      <c r="Q493" s="1">
        <v>10807</v>
      </c>
      <c r="R493" s="1">
        <v>0</v>
      </c>
      <c r="S493" s="4">
        <v>16</v>
      </c>
      <c r="T493" s="1" t="s">
        <v>790</v>
      </c>
    </row>
    <row r="494" spans="1:20" x14ac:dyDescent="0.3">
      <c r="A494" s="3">
        <v>4865</v>
      </c>
      <c r="B494" s="1" t="s">
        <v>735</v>
      </c>
      <c r="C494" s="1" t="s">
        <v>736</v>
      </c>
      <c r="D494" s="1" t="s">
        <v>15</v>
      </c>
      <c r="E494" s="11">
        <v>45576</v>
      </c>
      <c r="F494" s="1">
        <v>196707</v>
      </c>
      <c r="G494" s="1">
        <v>717</v>
      </c>
      <c r="H494" s="1">
        <v>25531</v>
      </c>
      <c r="I494" s="1">
        <v>1040</v>
      </c>
      <c r="J494" s="1">
        <v>131</v>
      </c>
      <c r="K494" s="1">
        <v>67616</v>
      </c>
      <c r="L494" s="1">
        <v>87696</v>
      </c>
      <c r="M494" s="2">
        <v>0.13574504211848079</v>
      </c>
      <c r="N494" s="1">
        <v>4</v>
      </c>
      <c r="O494" s="1">
        <v>0</v>
      </c>
      <c r="P494" s="1">
        <v>2038</v>
      </c>
      <c r="Q494" s="1">
        <v>7122</v>
      </c>
      <c r="R494" s="1">
        <v>0</v>
      </c>
      <c r="S494" s="4">
        <v>22</v>
      </c>
      <c r="T494" s="1" t="s">
        <v>784</v>
      </c>
    </row>
    <row r="495" spans="1:20" x14ac:dyDescent="0.3">
      <c r="A495" s="3">
        <v>4860</v>
      </c>
      <c r="B495" s="1" t="s">
        <v>710</v>
      </c>
      <c r="C495" s="1" t="s">
        <v>737</v>
      </c>
      <c r="D495" s="1" t="s">
        <v>20</v>
      </c>
      <c r="E495" s="11">
        <v>45353</v>
      </c>
      <c r="F495" s="1">
        <v>225258</v>
      </c>
      <c r="G495" s="1">
        <v>700</v>
      </c>
      <c r="H495" s="1">
        <v>25111</v>
      </c>
      <c r="I495" s="1">
        <v>1734</v>
      </c>
      <c r="J495" s="1">
        <v>4559</v>
      </c>
      <c r="K495" s="1">
        <v>50946</v>
      </c>
      <c r="L495" s="1">
        <v>198264</v>
      </c>
      <c r="M495" s="2">
        <v>0.13941347255147432</v>
      </c>
      <c r="N495" s="1">
        <v>24</v>
      </c>
      <c r="O495" s="1">
        <v>0</v>
      </c>
      <c r="P495" s="1">
        <v>2200</v>
      </c>
      <c r="Q495" s="1">
        <v>3237</v>
      </c>
      <c r="R495" s="1">
        <v>0</v>
      </c>
      <c r="S495" s="4">
        <v>14</v>
      </c>
      <c r="T495" s="1" t="s">
        <v>788</v>
      </c>
    </row>
    <row r="496" spans="1:20" x14ac:dyDescent="0.3">
      <c r="A496" s="3">
        <v>9085</v>
      </c>
      <c r="B496" s="1" t="s">
        <v>738</v>
      </c>
      <c r="C496" s="1" t="s">
        <v>739</v>
      </c>
      <c r="D496" s="1" t="s">
        <v>20</v>
      </c>
      <c r="E496" s="11">
        <v>45628</v>
      </c>
      <c r="F496" s="1">
        <v>120181</v>
      </c>
      <c r="G496" s="1">
        <v>1530</v>
      </c>
      <c r="H496" s="1">
        <v>4380</v>
      </c>
      <c r="I496" s="1">
        <v>545</v>
      </c>
      <c r="J496" s="1">
        <v>960</v>
      </c>
      <c r="K496" s="1">
        <v>19099</v>
      </c>
      <c r="L496" s="1">
        <v>22648</v>
      </c>
      <c r="M496" s="2">
        <v>4.8967806891272329E-2</v>
      </c>
      <c r="N496" s="1">
        <v>13</v>
      </c>
      <c r="O496" s="1">
        <v>0</v>
      </c>
      <c r="P496" s="1">
        <v>215</v>
      </c>
      <c r="Q496" s="1">
        <v>2491</v>
      </c>
      <c r="R496" s="1">
        <v>195</v>
      </c>
      <c r="S496" s="4">
        <v>7</v>
      </c>
      <c r="T496" s="1" t="s">
        <v>794</v>
      </c>
    </row>
    <row r="497" spans="1:20" x14ac:dyDescent="0.3">
      <c r="A497" s="3">
        <v>3189</v>
      </c>
      <c r="B497" s="1" t="s">
        <v>260</v>
      </c>
      <c r="C497" s="1" t="s">
        <v>740</v>
      </c>
      <c r="D497" s="1" t="s">
        <v>20</v>
      </c>
      <c r="E497" s="11">
        <v>45471</v>
      </c>
      <c r="F497" s="1">
        <v>379115</v>
      </c>
      <c r="G497" s="1">
        <v>653</v>
      </c>
      <c r="H497" s="1">
        <v>865</v>
      </c>
      <c r="I497" s="1">
        <v>101</v>
      </c>
      <c r="J497" s="1">
        <v>208</v>
      </c>
      <c r="K497" s="1">
        <v>1630</v>
      </c>
      <c r="L497" s="1">
        <v>4212</v>
      </c>
      <c r="M497" s="2">
        <v>3.0966857022275561E-3</v>
      </c>
      <c r="N497" s="1">
        <v>11</v>
      </c>
      <c r="O497" s="1">
        <v>0</v>
      </c>
      <c r="P497" s="1">
        <v>68</v>
      </c>
      <c r="Q497" s="1">
        <v>296</v>
      </c>
      <c r="R497" s="1">
        <v>21</v>
      </c>
      <c r="S497" s="4">
        <v>12</v>
      </c>
      <c r="T497" s="1" t="s">
        <v>787</v>
      </c>
    </row>
    <row r="498" spans="1:20" x14ac:dyDescent="0.3">
      <c r="A498" s="3">
        <v>4781</v>
      </c>
      <c r="B498" s="1" t="s">
        <v>362</v>
      </c>
      <c r="C498" s="1" t="s">
        <v>741</v>
      </c>
      <c r="D498" s="1" t="s">
        <v>20</v>
      </c>
      <c r="E498" s="11">
        <v>45388</v>
      </c>
      <c r="F498" s="1">
        <v>133535</v>
      </c>
      <c r="G498" s="1">
        <v>1532</v>
      </c>
      <c r="H498" s="1">
        <v>16037</v>
      </c>
      <c r="I498" s="1">
        <v>140</v>
      </c>
      <c r="J498" s="1">
        <v>3782</v>
      </c>
      <c r="K498" s="1">
        <v>64875</v>
      </c>
      <c r="L498" s="1">
        <v>113175</v>
      </c>
      <c r="M498" s="2">
        <v>0.14946643202156737</v>
      </c>
      <c r="N498" s="1">
        <v>14</v>
      </c>
      <c r="O498" s="1">
        <v>0</v>
      </c>
      <c r="P498" s="1">
        <v>323</v>
      </c>
      <c r="Q498" s="1">
        <v>7474</v>
      </c>
      <c r="R498" s="1">
        <v>470</v>
      </c>
      <c r="S498" s="4">
        <v>20</v>
      </c>
      <c r="T498" s="1" t="s">
        <v>797</v>
      </c>
    </row>
    <row r="499" spans="1:20" x14ac:dyDescent="0.3">
      <c r="A499" s="3">
        <v>6194</v>
      </c>
      <c r="B499" s="1" t="s">
        <v>388</v>
      </c>
      <c r="C499" s="1" t="s">
        <v>742</v>
      </c>
      <c r="D499" s="1" t="s">
        <v>38</v>
      </c>
      <c r="E499" s="11">
        <v>45543</v>
      </c>
      <c r="F499" s="1">
        <v>405624</v>
      </c>
      <c r="G499" s="1">
        <v>1960</v>
      </c>
      <c r="H499" s="1">
        <v>21899</v>
      </c>
      <c r="I499" s="1">
        <v>1408</v>
      </c>
      <c r="J499" s="1">
        <v>6221</v>
      </c>
      <c r="K499" s="1">
        <v>75312</v>
      </c>
      <c r="L499" s="1">
        <v>96758</v>
      </c>
      <c r="M499" s="2">
        <v>7.2796481470524421E-2</v>
      </c>
      <c r="N499" s="1">
        <v>5</v>
      </c>
      <c r="O499" s="1">
        <v>6</v>
      </c>
      <c r="P499" s="1">
        <v>1881</v>
      </c>
      <c r="Q499" s="1">
        <v>13303</v>
      </c>
      <c r="R499" s="1">
        <v>257</v>
      </c>
      <c r="S499" s="4">
        <v>12</v>
      </c>
      <c r="T499" s="1" t="s">
        <v>787</v>
      </c>
    </row>
    <row r="500" spans="1:20" x14ac:dyDescent="0.3">
      <c r="A500" s="3">
        <v>7788</v>
      </c>
      <c r="B500" s="1" t="s">
        <v>743</v>
      </c>
      <c r="C500" s="1" t="s">
        <v>744</v>
      </c>
      <c r="D500" s="1" t="s">
        <v>38</v>
      </c>
      <c r="E500" s="11">
        <v>45640</v>
      </c>
      <c r="F500" s="1">
        <v>354048</v>
      </c>
      <c r="G500" s="1">
        <v>1924</v>
      </c>
      <c r="H500" s="1">
        <v>45721</v>
      </c>
      <c r="I500" s="1">
        <v>207</v>
      </c>
      <c r="J500" s="1">
        <v>4111</v>
      </c>
      <c r="K500" s="1">
        <v>167633</v>
      </c>
      <c r="L500" s="1">
        <v>338492</v>
      </c>
      <c r="M500" s="2">
        <v>0.14133394342010122</v>
      </c>
      <c r="N500" s="1">
        <v>21</v>
      </c>
      <c r="O500" s="1">
        <v>42</v>
      </c>
      <c r="P500" s="1">
        <v>4206</v>
      </c>
      <c r="Q500" s="1">
        <v>26910</v>
      </c>
      <c r="R500" s="1">
        <v>2442</v>
      </c>
      <c r="S500" s="4">
        <v>17</v>
      </c>
      <c r="T500" s="1" t="s">
        <v>791</v>
      </c>
    </row>
    <row r="501" spans="1:20" x14ac:dyDescent="0.3">
      <c r="A501" s="5">
        <v>9841</v>
      </c>
      <c r="B501" s="6" t="s">
        <v>745</v>
      </c>
      <c r="C501" s="6" t="s">
        <v>746</v>
      </c>
      <c r="D501" s="6" t="s">
        <v>38</v>
      </c>
      <c r="E501" s="12">
        <v>45359</v>
      </c>
      <c r="F501" s="6">
        <v>91242</v>
      </c>
      <c r="G501" s="6">
        <v>1932</v>
      </c>
      <c r="H501" s="6">
        <v>10819</v>
      </c>
      <c r="I501" s="6">
        <v>124</v>
      </c>
      <c r="J501" s="6">
        <v>2924</v>
      </c>
      <c r="K501" s="6">
        <v>40446</v>
      </c>
      <c r="L501" s="6">
        <v>23986</v>
      </c>
      <c r="M501" s="2">
        <v>0.15198044760088555</v>
      </c>
      <c r="N501" s="6">
        <v>15</v>
      </c>
      <c r="O501" s="6">
        <v>37</v>
      </c>
      <c r="P501" s="6">
        <v>711</v>
      </c>
      <c r="Q501" s="6">
        <v>5576</v>
      </c>
      <c r="R501" s="6">
        <v>0</v>
      </c>
      <c r="S501" s="7">
        <v>20</v>
      </c>
      <c r="T501" s="6" t="s">
        <v>797</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09AA-6588-451B-8128-F0CD6601C528}">
  <dimension ref="A3:D16"/>
  <sheetViews>
    <sheetView workbookViewId="0">
      <selection activeCell="G16" sqref="G16"/>
    </sheetView>
  </sheetViews>
  <sheetFormatPr defaultRowHeight="14.4" x14ac:dyDescent="0.3"/>
  <cols>
    <col min="1" max="1" width="15.109375" bestFit="1" customWidth="1"/>
    <col min="2" max="2" width="15.5546875" bestFit="1" customWidth="1"/>
    <col min="3" max="3" width="6.21875" bestFit="1" customWidth="1"/>
    <col min="4" max="4" width="4.5546875" bestFit="1" customWidth="1"/>
    <col min="5" max="5" width="10.77734375" bestFit="1" customWidth="1"/>
  </cols>
  <sheetData>
    <row r="3" spans="1:4" x14ac:dyDescent="0.3">
      <c r="A3" s="8" t="s">
        <v>767</v>
      </c>
      <c r="B3" s="8" t="s">
        <v>766</v>
      </c>
    </row>
    <row r="4" spans="1:4" x14ac:dyDescent="0.3">
      <c r="A4" s="8" t="s">
        <v>753</v>
      </c>
      <c r="B4" t="s">
        <v>20</v>
      </c>
      <c r="C4" t="s">
        <v>15</v>
      </c>
      <c r="D4" t="s">
        <v>38</v>
      </c>
    </row>
    <row r="5" spans="1:4" x14ac:dyDescent="0.3">
      <c r="A5" s="9" t="s">
        <v>754</v>
      </c>
      <c r="B5" s="26">
        <v>11</v>
      </c>
      <c r="C5" s="26">
        <v>12</v>
      </c>
      <c r="D5" s="26">
        <v>17</v>
      </c>
    </row>
    <row r="6" spans="1:4" x14ac:dyDescent="0.3">
      <c r="A6" s="9" t="s">
        <v>755</v>
      </c>
      <c r="B6" s="26">
        <v>7</v>
      </c>
      <c r="C6" s="26">
        <v>13</v>
      </c>
      <c r="D6" s="26">
        <v>24</v>
      </c>
    </row>
    <row r="7" spans="1:4" x14ac:dyDescent="0.3">
      <c r="A7" s="9" t="s">
        <v>756</v>
      </c>
      <c r="B7" s="26">
        <v>14</v>
      </c>
      <c r="C7" s="26">
        <v>16</v>
      </c>
      <c r="D7" s="26">
        <v>12</v>
      </c>
    </row>
    <row r="8" spans="1:4" x14ac:dyDescent="0.3">
      <c r="A8" s="9" t="s">
        <v>757</v>
      </c>
      <c r="B8" s="26">
        <v>17</v>
      </c>
      <c r="C8" s="26">
        <v>16</v>
      </c>
      <c r="D8" s="26">
        <v>17</v>
      </c>
    </row>
    <row r="9" spans="1:4" x14ac:dyDescent="0.3">
      <c r="A9" s="9" t="s">
        <v>758</v>
      </c>
      <c r="B9" s="26">
        <v>14</v>
      </c>
      <c r="C9" s="26">
        <v>12</v>
      </c>
      <c r="D9" s="26">
        <v>12</v>
      </c>
    </row>
    <row r="10" spans="1:4" x14ac:dyDescent="0.3">
      <c r="A10" s="9" t="s">
        <v>759</v>
      </c>
      <c r="B10" s="26">
        <v>22</v>
      </c>
      <c r="C10" s="26">
        <v>14</v>
      </c>
      <c r="D10" s="26">
        <v>9</v>
      </c>
    </row>
    <row r="11" spans="1:4" x14ac:dyDescent="0.3">
      <c r="A11" s="9" t="s">
        <v>760</v>
      </c>
      <c r="B11" s="26">
        <v>14</v>
      </c>
      <c r="C11" s="26">
        <v>12</v>
      </c>
      <c r="D11" s="26">
        <v>11</v>
      </c>
    </row>
    <row r="12" spans="1:4" x14ac:dyDescent="0.3">
      <c r="A12" s="9" t="s">
        <v>761</v>
      </c>
      <c r="B12" s="26">
        <v>12</v>
      </c>
      <c r="C12" s="26">
        <v>12</v>
      </c>
      <c r="D12" s="26">
        <v>21</v>
      </c>
    </row>
    <row r="13" spans="1:4" x14ac:dyDescent="0.3">
      <c r="A13" s="9" t="s">
        <v>762</v>
      </c>
      <c r="B13" s="26">
        <v>11</v>
      </c>
      <c r="C13" s="26">
        <v>10</v>
      </c>
      <c r="D13" s="26">
        <v>11</v>
      </c>
    </row>
    <row r="14" spans="1:4" x14ac:dyDescent="0.3">
      <c r="A14" s="9" t="s">
        <v>763</v>
      </c>
      <c r="B14" s="26">
        <v>17</v>
      </c>
      <c r="C14" s="26">
        <v>18</v>
      </c>
      <c r="D14" s="26">
        <v>17</v>
      </c>
    </row>
    <row r="15" spans="1:4" x14ac:dyDescent="0.3">
      <c r="A15" s="9" t="s">
        <v>764</v>
      </c>
      <c r="B15" s="26">
        <v>12</v>
      </c>
      <c r="C15" s="26">
        <v>9</v>
      </c>
      <c r="D15" s="26">
        <v>13</v>
      </c>
    </row>
    <row r="16" spans="1:4" x14ac:dyDescent="0.3">
      <c r="A16" s="9" t="s">
        <v>765</v>
      </c>
      <c r="B16" s="26">
        <v>9</v>
      </c>
      <c r="C16" s="26">
        <v>14</v>
      </c>
      <c r="D16" s="26">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21473-32E1-4532-A46B-B6BBD6489146}">
  <dimension ref="A2:L58"/>
  <sheetViews>
    <sheetView topLeftCell="A48" zoomScaleNormal="100" workbookViewId="0">
      <selection activeCell="A52" sqref="A52:B52"/>
    </sheetView>
  </sheetViews>
  <sheetFormatPr defaultRowHeight="14.4" x14ac:dyDescent="0.3"/>
  <cols>
    <col min="1" max="1" width="12.5546875" bestFit="1" customWidth="1"/>
    <col min="2" max="2" width="14.33203125" bestFit="1" customWidth="1"/>
    <col min="3" max="3" width="16" bestFit="1" customWidth="1"/>
    <col min="4" max="4" width="19.6640625" bestFit="1" customWidth="1"/>
    <col min="5" max="5" width="10.77734375" bestFit="1" customWidth="1"/>
    <col min="6" max="6" width="12.5546875" bestFit="1" customWidth="1"/>
    <col min="7" max="7" width="21.44140625" bestFit="1" customWidth="1"/>
    <col min="8" max="8" width="22.33203125" bestFit="1" customWidth="1"/>
    <col min="9" max="9" width="21.44140625" bestFit="1" customWidth="1"/>
    <col min="10" max="10" width="12.5546875" bestFit="1" customWidth="1"/>
    <col min="11" max="11" width="15.33203125" bestFit="1" customWidth="1"/>
    <col min="12" max="13" width="4.5546875" bestFit="1" customWidth="1"/>
    <col min="14" max="14" width="10.77734375" bestFit="1" customWidth="1"/>
  </cols>
  <sheetData>
    <row r="2" spans="1:12" x14ac:dyDescent="0.3">
      <c r="A2" s="24" t="s">
        <v>778</v>
      </c>
      <c r="B2" s="24"/>
      <c r="J2" s="24" t="s">
        <v>779</v>
      </c>
      <c r="K2" s="24"/>
      <c r="L2" s="24"/>
    </row>
    <row r="5" spans="1:12" x14ac:dyDescent="0.3">
      <c r="A5" s="8" t="s">
        <v>753</v>
      </c>
      <c r="B5" t="s">
        <v>773</v>
      </c>
      <c r="J5" s="8" t="s">
        <v>753</v>
      </c>
      <c r="K5" t="s">
        <v>775</v>
      </c>
    </row>
    <row r="6" spans="1:12" x14ac:dyDescent="0.3">
      <c r="A6" s="9" t="s">
        <v>20</v>
      </c>
      <c r="B6" s="18">
        <v>9.6845645364479233E-2</v>
      </c>
      <c r="J6" s="9" t="s">
        <v>797</v>
      </c>
      <c r="K6" s="19">
        <v>77459.25</v>
      </c>
    </row>
    <row r="7" spans="1:12" x14ac:dyDescent="0.3">
      <c r="A7" s="9" t="s">
        <v>15</v>
      </c>
      <c r="B7" s="18">
        <v>9.796126352280389E-2</v>
      </c>
      <c r="J7" s="9" t="s">
        <v>788</v>
      </c>
      <c r="K7" s="19">
        <v>76775.958333333328</v>
      </c>
    </row>
    <row r="8" spans="1:12" x14ac:dyDescent="0.3">
      <c r="A8" s="9" t="s">
        <v>38</v>
      </c>
      <c r="B8" s="18">
        <v>9.358614097790402E-2</v>
      </c>
      <c r="J8" s="9" t="s">
        <v>784</v>
      </c>
      <c r="K8" s="19">
        <v>69249.862068965522</v>
      </c>
    </row>
    <row r="9" spans="1:12" x14ac:dyDescent="0.3">
      <c r="J9" s="9" t="s">
        <v>783</v>
      </c>
      <c r="K9" s="19">
        <v>68828.741935483864</v>
      </c>
    </row>
    <row r="10" spans="1:12" x14ac:dyDescent="0.3">
      <c r="J10" s="9" t="s">
        <v>793</v>
      </c>
      <c r="K10" s="19">
        <v>67515.7</v>
      </c>
    </row>
    <row r="11" spans="1:12" x14ac:dyDescent="0.3">
      <c r="J11" s="9" t="s">
        <v>799</v>
      </c>
      <c r="K11" s="19">
        <v>64676.142857142855</v>
      </c>
    </row>
    <row r="12" spans="1:12" x14ac:dyDescent="0.3">
      <c r="J12" s="9" t="s">
        <v>792</v>
      </c>
      <c r="K12" s="19">
        <v>60692.892857142855</v>
      </c>
    </row>
    <row r="13" spans="1:12" x14ac:dyDescent="0.3">
      <c r="J13" s="9" t="s">
        <v>785</v>
      </c>
      <c r="K13" s="19">
        <v>59271.416666666664</v>
      </c>
    </row>
    <row r="14" spans="1:12" x14ac:dyDescent="0.3">
      <c r="J14" s="9" t="s">
        <v>789</v>
      </c>
      <c r="K14" s="19">
        <v>58097.599999999999</v>
      </c>
    </row>
    <row r="15" spans="1:12" x14ac:dyDescent="0.3">
      <c r="J15" s="9" t="s">
        <v>794</v>
      </c>
      <c r="K15" s="19">
        <v>56886.741935483871</v>
      </c>
    </row>
    <row r="16" spans="1:12" x14ac:dyDescent="0.3">
      <c r="J16" s="9" t="s">
        <v>791</v>
      </c>
      <c r="K16" s="19">
        <v>56876.681818181816</v>
      </c>
    </row>
    <row r="17" spans="1:11" x14ac:dyDescent="0.3">
      <c r="J17" s="9" t="s">
        <v>795</v>
      </c>
      <c r="K17" s="19">
        <v>51560.862068965514</v>
      </c>
    </row>
    <row r="18" spans="1:11" x14ac:dyDescent="0.3">
      <c r="J18" s="9" t="s">
        <v>796</v>
      </c>
      <c r="K18" s="19">
        <v>50572.238095238092</v>
      </c>
    </row>
    <row r="19" spans="1:11" x14ac:dyDescent="0.3">
      <c r="J19" s="9" t="s">
        <v>787</v>
      </c>
      <c r="K19" s="19">
        <v>50149.76666666667</v>
      </c>
    </row>
    <row r="20" spans="1:11" x14ac:dyDescent="0.3">
      <c r="J20" s="9" t="s">
        <v>782</v>
      </c>
      <c r="K20" s="19">
        <v>50070.676470588238</v>
      </c>
    </row>
    <row r="21" spans="1:11" x14ac:dyDescent="0.3">
      <c r="J21" s="9" t="s">
        <v>786</v>
      </c>
      <c r="K21" s="19">
        <v>49067.923076923078</v>
      </c>
    </row>
    <row r="22" spans="1:11" x14ac:dyDescent="0.3">
      <c r="J22" s="9" t="s">
        <v>790</v>
      </c>
      <c r="K22" s="19">
        <v>46966</v>
      </c>
    </row>
    <row r="23" spans="1:11" x14ac:dyDescent="0.3">
      <c r="J23" s="9" t="s">
        <v>798</v>
      </c>
      <c r="K23" s="19">
        <v>33214.296296296299</v>
      </c>
    </row>
    <row r="31" spans="1:11" x14ac:dyDescent="0.3">
      <c r="A31" s="24" t="s">
        <v>780</v>
      </c>
      <c r="B31" s="24"/>
    </row>
    <row r="33" spans="1:2" x14ac:dyDescent="0.3">
      <c r="A33" s="8" t="s">
        <v>753</v>
      </c>
      <c r="B33" t="s">
        <v>771</v>
      </c>
    </row>
    <row r="34" spans="1:2" x14ac:dyDescent="0.3">
      <c r="A34" s="9" t="s">
        <v>754</v>
      </c>
      <c r="B34" s="26">
        <v>10102</v>
      </c>
    </row>
    <row r="35" spans="1:2" x14ac:dyDescent="0.3">
      <c r="A35" s="9" t="s">
        <v>755</v>
      </c>
      <c r="B35" s="26">
        <v>8164</v>
      </c>
    </row>
    <row r="36" spans="1:2" x14ac:dyDescent="0.3">
      <c r="A36" s="9" t="s">
        <v>756</v>
      </c>
      <c r="B36" s="26">
        <v>6484</v>
      </c>
    </row>
    <row r="37" spans="1:2" x14ac:dyDescent="0.3">
      <c r="A37" s="9" t="s">
        <v>757</v>
      </c>
      <c r="B37" s="26">
        <v>8377</v>
      </c>
    </row>
    <row r="38" spans="1:2" x14ac:dyDescent="0.3">
      <c r="A38" s="9" t="s">
        <v>758</v>
      </c>
      <c r="B38" s="26">
        <v>6767</v>
      </c>
    </row>
    <row r="39" spans="1:2" x14ac:dyDescent="0.3">
      <c r="A39" s="9" t="s">
        <v>759</v>
      </c>
      <c r="B39" s="26">
        <v>13431</v>
      </c>
    </row>
    <row r="40" spans="1:2" x14ac:dyDescent="0.3">
      <c r="A40" s="9" t="s">
        <v>760</v>
      </c>
      <c r="B40" s="26">
        <v>8571</v>
      </c>
    </row>
    <row r="41" spans="1:2" x14ac:dyDescent="0.3">
      <c r="A41" s="9" t="s">
        <v>761</v>
      </c>
      <c r="B41" s="26">
        <v>7911</v>
      </c>
    </row>
    <row r="42" spans="1:2" x14ac:dyDescent="0.3">
      <c r="A42" s="9" t="s">
        <v>762</v>
      </c>
      <c r="B42" s="26">
        <v>5750</v>
      </c>
    </row>
    <row r="43" spans="1:2" x14ac:dyDescent="0.3">
      <c r="A43" s="9" t="s">
        <v>763</v>
      </c>
      <c r="B43" s="26">
        <v>9757</v>
      </c>
    </row>
    <row r="44" spans="1:2" x14ac:dyDescent="0.3">
      <c r="A44" s="9" t="s">
        <v>764</v>
      </c>
      <c r="B44" s="26">
        <v>5173</v>
      </c>
    </row>
    <row r="45" spans="1:2" x14ac:dyDescent="0.3">
      <c r="A45" s="9" t="s">
        <v>765</v>
      </c>
      <c r="B45" s="26">
        <v>12447</v>
      </c>
    </row>
    <row r="52" spans="1:11" x14ac:dyDescent="0.3">
      <c r="A52" s="25" t="s">
        <v>800</v>
      </c>
      <c r="B52" s="25"/>
      <c r="F52" s="25" t="s">
        <v>804</v>
      </c>
      <c r="G52" s="25"/>
      <c r="H52" s="25"/>
      <c r="J52" s="25" t="s">
        <v>807</v>
      </c>
      <c r="K52" s="25"/>
    </row>
    <row r="55" spans="1:11" x14ac:dyDescent="0.3">
      <c r="A55" s="8" t="s">
        <v>753</v>
      </c>
      <c r="B55" t="s">
        <v>801</v>
      </c>
      <c r="C55" t="s">
        <v>803</v>
      </c>
      <c r="D55" t="s">
        <v>802</v>
      </c>
      <c r="F55" s="8" t="s">
        <v>753</v>
      </c>
      <c r="G55" t="s">
        <v>805</v>
      </c>
      <c r="H55" t="s">
        <v>806</v>
      </c>
      <c r="J55" s="8" t="s">
        <v>753</v>
      </c>
      <c r="K55" t="s">
        <v>775</v>
      </c>
    </row>
    <row r="56" spans="1:11" x14ac:dyDescent="0.3">
      <c r="A56" s="9" t="s">
        <v>20</v>
      </c>
      <c r="B56" s="19">
        <v>18890.525000000001</v>
      </c>
      <c r="C56" s="19">
        <v>2878.9749999999999</v>
      </c>
      <c r="D56" s="19">
        <v>2051.59375</v>
      </c>
      <c r="F56" s="9" t="s">
        <v>20</v>
      </c>
      <c r="G56" s="19">
        <v>6565.8187500000004</v>
      </c>
      <c r="H56" s="19">
        <v>179.0625</v>
      </c>
      <c r="J56" s="9" t="s">
        <v>20</v>
      </c>
      <c r="K56" s="19">
        <v>54891.46875</v>
      </c>
    </row>
    <row r="57" spans="1:11" x14ac:dyDescent="0.3">
      <c r="A57" s="9" t="s">
        <v>15</v>
      </c>
      <c r="B57" s="19">
        <v>19135.031645569619</v>
      </c>
      <c r="C57" s="19">
        <v>2662.2278481012659</v>
      </c>
      <c r="D57" s="19">
        <v>2065.6518987341774</v>
      </c>
      <c r="F57" s="9" t="s">
        <v>15</v>
      </c>
      <c r="G57" s="19">
        <v>7375.5316455696202</v>
      </c>
      <c r="H57" s="19">
        <v>213.36075949367088</v>
      </c>
      <c r="J57" s="9" t="s">
        <v>15</v>
      </c>
      <c r="K57" s="19">
        <v>60162.518987341769</v>
      </c>
    </row>
    <row r="58" spans="1:11" x14ac:dyDescent="0.3">
      <c r="A58" s="9" t="s">
        <v>38</v>
      </c>
      <c r="B58" s="19">
        <v>19573.945054945056</v>
      </c>
      <c r="C58" s="19">
        <v>3133.8791208791208</v>
      </c>
      <c r="D58" s="19">
        <v>1925.1593406593406</v>
      </c>
      <c r="F58" s="9" t="s">
        <v>38</v>
      </c>
      <c r="G58" s="19">
        <v>7515.6703296703299</v>
      </c>
      <c r="H58" s="19">
        <v>222.92857142857142</v>
      </c>
      <c r="J58" s="9" t="s">
        <v>38</v>
      </c>
      <c r="K58" s="19">
        <v>58840.302197802201</v>
      </c>
    </row>
  </sheetData>
  <mergeCells count="6">
    <mergeCell ref="A2:B2"/>
    <mergeCell ref="J2:L2"/>
    <mergeCell ref="A31:B31"/>
    <mergeCell ref="A52:B52"/>
    <mergeCell ref="F52:H52"/>
    <mergeCell ref="J52:K52"/>
  </mergeCells>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9BD8F-998C-45AB-A995-211039D7C514}">
  <dimension ref="A2:J8"/>
  <sheetViews>
    <sheetView workbookViewId="0">
      <selection activeCell="J2" sqref="J2"/>
    </sheetView>
  </sheetViews>
  <sheetFormatPr defaultRowHeight="14.4" x14ac:dyDescent="0.3"/>
  <cols>
    <col min="1" max="1" width="22.6640625" bestFit="1" customWidth="1"/>
    <col min="2" max="2" width="15.5546875" bestFit="1" customWidth="1"/>
    <col min="3" max="3" width="19.109375" bestFit="1" customWidth="1"/>
    <col min="4" max="4" width="4.5546875" bestFit="1" customWidth="1"/>
    <col min="5" max="5" width="10.77734375" bestFit="1" customWidth="1"/>
    <col min="6" max="6" width="25.88671875" bestFit="1" customWidth="1"/>
    <col min="8" max="8" width="15.33203125" bestFit="1" customWidth="1"/>
    <col min="10" max="10" width="12" bestFit="1" customWidth="1"/>
  </cols>
  <sheetData>
    <row r="2" spans="1:10" x14ac:dyDescent="0.3">
      <c r="A2" s="17" t="s">
        <v>769</v>
      </c>
      <c r="C2" s="17" t="s">
        <v>770</v>
      </c>
      <c r="F2" s="17" t="s">
        <v>772</v>
      </c>
      <c r="H2" s="17" t="s">
        <v>774</v>
      </c>
      <c r="J2" s="17" t="s">
        <v>776</v>
      </c>
    </row>
    <row r="4" spans="1:10" x14ac:dyDescent="0.3">
      <c r="A4" t="s">
        <v>768</v>
      </c>
      <c r="C4" t="s">
        <v>771</v>
      </c>
      <c r="F4" t="s">
        <v>773</v>
      </c>
      <c r="H4" t="s">
        <v>775</v>
      </c>
      <c r="J4" t="s">
        <v>777</v>
      </c>
    </row>
    <row r="5" spans="1:10" x14ac:dyDescent="0.3">
      <c r="A5" s="26">
        <v>494382</v>
      </c>
      <c r="C5" s="26">
        <v>102934</v>
      </c>
      <c r="F5" s="18">
        <v>9.6011721105796463E-2</v>
      </c>
      <c r="H5" s="19">
        <v>57994.495999999999</v>
      </c>
      <c r="J5" s="26">
        <v>547659</v>
      </c>
    </row>
    <row r="8" spans="1:10" x14ac:dyDescent="0.3">
      <c r="A8" s="22">
        <f>GETPIVOTDATA("followers_at_post",$A$4)</f>
        <v>494382</v>
      </c>
      <c r="C8" s="22">
        <f>GETPIVOTDATA("follower_gain",$C$4)</f>
        <v>102934</v>
      </c>
      <c r="F8" s="18">
        <f>GETPIVOTDATA("engagement_rate",$F$4)</f>
        <v>9.6011721105796463E-2</v>
      </c>
      <c r="H8" s="22">
        <f>GETPIVOTDATA("reach",$H$4)</f>
        <v>57994.495999999999</v>
      </c>
      <c r="J8" s="22">
        <f>GETPIVOTDATA("saves",$J$4)</f>
        <v>547659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84E98-31D0-402C-BE3A-B6700C5398D3}">
  <dimension ref="V2"/>
  <sheetViews>
    <sheetView showGridLines="0" tabSelected="1" zoomScaleNormal="100" workbookViewId="0">
      <selection activeCell="G2" sqref="G2"/>
    </sheetView>
  </sheetViews>
  <sheetFormatPr defaultRowHeight="14.4" x14ac:dyDescent="0.3"/>
  <cols>
    <col min="1" max="16384" width="8.88671875" style="21"/>
  </cols>
  <sheetData>
    <row r="2" spans="22:22" x14ac:dyDescent="0.3">
      <c r="V2" s="2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insta_data</vt:lpstr>
      <vt:lpstr>PT_MASTER</vt:lpstr>
      <vt:lpstr>PT_Chart</vt:lpstr>
      <vt:lpstr>PT_KPIs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222024 PARAS</cp:lastModifiedBy>
  <dcterms:created xsi:type="dcterms:W3CDTF">2025-12-20T06:13:14Z</dcterms:created>
  <dcterms:modified xsi:type="dcterms:W3CDTF">2025-12-23T16:34:48Z</dcterms:modified>
</cp:coreProperties>
</file>